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stha\Desktop\My Files\Course Files\Sri Lanka Research\CERP 2\Data_Sheet\Final Data Sheet Measured Values\"/>
    </mc:Choice>
  </mc:AlternateContent>
  <xr:revisionPtr revIDLastSave="0" documentId="13_ncr:1_{90952079-8D49-482B-9533-C74EAF7A92E7}" xr6:coauthVersionLast="47" xr6:coauthVersionMax="47" xr10:uidLastSave="{00000000-0000-0000-0000-000000000000}"/>
  <bookViews>
    <workbookView xWindow="-108" yWindow="-108" windowWidth="23256" windowHeight="11976" tabRatio="854" firstSheet="4" activeTab="7" xr2:uid="{6709CEA4-FB67-49B6-9E70-E31E8328D069}"/>
  </bookViews>
  <sheets>
    <sheet name="GPS Locations" sheetId="53" r:id="rId1"/>
    <sheet name="Location_codes_characteristics" sheetId="2" r:id="rId2"/>
    <sheet name="Filter_paper_weights" sheetId="3" r:id="rId3"/>
    <sheet name="Weights_(depth_integrated)" sheetId="4" r:id="rId4"/>
    <sheet name="Stats_Depth_Integrated_Samples" sheetId="51" r:id="rId5"/>
    <sheet name="Further_Stats" sheetId="52" r:id="rId6"/>
    <sheet name="Weights_(rising_stage)" sheetId="5" r:id="rId7"/>
    <sheet name="Statistics_Output_Rising" sheetId="47" r:id="rId8"/>
  </sheets>
  <functionGroups builtInGroupCount="19"/>
  <definedNames>
    <definedName name="_xleta.LEFT" hidden="1" xlm="1">#NAME?</definedName>
    <definedName name="_xleta.LEN" hidden="1" xlm="1">#NAME?</definedName>
    <definedName name="_xleta.T" hidden="1" xlm="1">#NAME?</definedName>
    <definedName name="_xlpm.code" hidden="1" xlm="1">#NAME?</definedName>
    <definedName name="_xlpm.count" hidden="1" xlm="1">#NAME?</definedName>
    <definedName name="_xlpm.data_subset" hidden="1" xlm="1">#NAME?</definedName>
    <definedName name="_xlpm.day_position" hidden="1" xlm="1">#NAME?</definedName>
    <definedName name="_xlpm.dayPos" hidden="1" xlm="1">#NAME?</definedName>
    <definedName name="_xlpm.description_str" hidden="1" xlm="1">#NAME?</definedName>
    <definedName name="_xlpm.first_underscore" hidden="1" xlm="1">#NAME?</definedName>
    <definedName name="_xlpm.firstUnderscore" hidden="1" xlm="1">#NAME?</definedName>
    <definedName name="_xlpm.formula_str" hidden="1" xlm="1">#NAME?</definedName>
    <definedName name="_xlpm.last_part" hidden="1" xlm="1">#NAME?</definedName>
    <definedName name="_xlpm.last_underscore" hidden="1" xlm="1">#NAME?</definedName>
    <definedName name="_xlpm.lastUnderscoreBeforeDay" hidden="1" xlm="1">#NAME?</definedName>
    <definedName name="_xlpm.name" hidden="1" xlm="1">#NAME?</definedName>
    <definedName name="_xlpm.parts" hidden="1" xlm="1">#NAME?</definedName>
    <definedName name="_xlpm.text" hidden="1" xlm="1">#NAME?</definedName>
    <definedName name="_xlpm.xl_re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9" i="4" l="1"/>
  <c r="L267" i="4"/>
  <c r="E267" i="4"/>
  <c r="D267" i="4"/>
  <c r="C267" i="4"/>
  <c r="B267" i="4"/>
  <c r="L266" i="4"/>
  <c r="E266" i="4"/>
  <c r="D266" i="4"/>
  <c r="C266" i="4"/>
  <c r="B266" i="4"/>
  <c r="L265" i="4"/>
  <c r="E265" i="4"/>
  <c r="D265" i="4"/>
  <c r="C265" i="4"/>
  <c r="B265" i="4"/>
  <c r="L264" i="4"/>
  <c r="E264" i="4"/>
  <c r="D264" i="4"/>
  <c r="C264" i="4"/>
  <c r="B264" i="4"/>
  <c r="L263" i="4"/>
  <c r="E263" i="4"/>
  <c r="D263" i="4"/>
  <c r="C263" i="4"/>
  <c r="B263" i="4"/>
  <c r="L262" i="4"/>
  <c r="E262" i="4"/>
  <c r="D262" i="4"/>
  <c r="C262" i="4"/>
  <c r="B262" i="4"/>
  <c r="L261" i="4"/>
  <c r="E261" i="4"/>
  <c r="D261" i="4"/>
  <c r="C261" i="4"/>
  <c r="B261" i="4"/>
  <c r="L260" i="4"/>
  <c r="E260" i="4"/>
  <c r="D260" i="4"/>
  <c r="C260" i="4"/>
  <c r="B260" i="4"/>
  <c r="L259" i="4"/>
  <c r="E259" i="4"/>
  <c r="D259" i="4"/>
  <c r="C259" i="4"/>
  <c r="B259" i="4"/>
  <c r="L258" i="4"/>
  <c r="E258" i="4"/>
  <c r="D258" i="4"/>
  <c r="C258" i="4"/>
  <c r="B258" i="4"/>
  <c r="L257" i="4"/>
  <c r="E257" i="4"/>
  <c r="D257" i="4"/>
  <c r="C257" i="4"/>
  <c r="B257" i="4"/>
  <c r="L256" i="4"/>
  <c r="E256" i="4"/>
  <c r="D256" i="4"/>
  <c r="C256" i="4"/>
  <c r="B256" i="4"/>
  <c r="L255" i="4"/>
  <c r="E255" i="4"/>
  <c r="D255" i="4"/>
  <c r="C255" i="4"/>
  <c r="B255" i="4"/>
  <c r="L254" i="4"/>
  <c r="E254" i="4"/>
  <c r="D254" i="4"/>
  <c r="C254" i="4"/>
  <c r="B254" i="4"/>
  <c r="L253" i="4"/>
  <c r="E253" i="4"/>
  <c r="D253" i="4"/>
  <c r="C253" i="4"/>
  <c r="B253" i="4"/>
  <c r="L252" i="4"/>
  <c r="E252" i="4"/>
  <c r="D252" i="4"/>
  <c r="C252" i="4"/>
  <c r="B252" i="4"/>
  <c r="L251" i="4"/>
  <c r="E251" i="4"/>
  <c r="D251" i="4"/>
  <c r="C251" i="4"/>
  <c r="B251" i="4"/>
  <c r="L250" i="4"/>
  <c r="E250" i="4"/>
  <c r="D250" i="4"/>
  <c r="C250" i="4"/>
  <c r="B250" i="4"/>
  <c r="L249" i="4"/>
  <c r="E249" i="4"/>
  <c r="D249" i="4"/>
  <c r="C249" i="4"/>
  <c r="B249" i="4"/>
  <c r="L248" i="4"/>
  <c r="E248" i="4"/>
  <c r="D248" i="4"/>
  <c r="C248" i="4"/>
  <c r="B248" i="4"/>
  <c r="L247" i="4"/>
  <c r="E247" i="4"/>
  <c r="D247" i="4"/>
  <c r="C247" i="4"/>
  <c r="B247" i="4"/>
  <c r="L246" i="4"/>
  <c r="E246" i="4"/>
  <c r="D246" i="4"/>
  <c r="C246" i="4"/>
  <c r="B246" i="4"/>
  <c r="L245" i="4"/>
  <c r="E245" i="4"/>
  <c r="D245" i="4"/>
  <c r="C245" i="4"/>
  <c r="B245" i="4"/>
  <c r="L244" i="4"/>
  <c r="E244" i="4"/>
  <c r="D244" i="4"/>
  <c r="C244" i="4"/>
  <c r="B244" i="4"/>
  <c r="L243" i="4"/>
  <c r="E243" i="4"/>
  <c r="D243" i="4"/>
  <c r="C243" i="4"/>
  <c r="B243" i="4"/>
  <c r="L242" i="4"/>
  <c r="E242" i="4"/>
  <c r="D242" i="4"/>
  <c r="C242" i="4"/>
  <c r="B242" i="4"/>
  <c r="L241" i="4"/>
  <c r="E241" i="4"/>
  <c r="D241" i="4"/>
  <c r="C241" i="4"/>
  <c r="B241" i="4"/>
  <c r="L240" i="4"/>
  <c r="E240" i="4"/>
  <c r="D240" i="4"/>
  <c r="C240" i="4"/>
  <c r="B240" i="4"/>
  <c r="L239" i="4"/>
  <c r="E239" i="4"/>
  <c r="D239" i="4"/>
  <c r="C239" i="4"/>
  <c r="B239" i="4"/>
  <c r="L238" i="4"/>
  <c r="E238" i="4"/>
  <c r="D238" i="4"/>
  <c r="C238" i="4"/>
  <c r="B238" i="4"/>
  <c r="L237" i="4"/>
  <c r="E237" i="4"/>
  <c r="D237" i="4"/>
  <c r="C237" i="4"/>
  <c r="B237" i="4"/>
  <c r="L236" i="4"/>
  <c r="E236" i="4"/>
  <c r="D236" i="4"/>
  <c r="C236" i="4"/>
  <c r="B236" i="4"/>
  <c r="L235" i="4"/>
  <c r="E235" i="4"/>
  <c r="D235" i="4"/>
  <c r="C235" i="4"/>
  <c r="B235" i="4"/>
  <c r="L234" i="4"/>
  <c r="E234" i="4"/>
  <c r="D234" i="4"/>
  <c r="C234" i="4"/>
  <c r="B234" i="4"/>
  <c r="L233" i="4"/>
  <c r="E233" i="4"/>
  <c r="D233" i="4"/>
  <c r="C233" i="4"/>
  <c r="B233" i="4"/>
  <c r="L232" i="4"/>
  <c r="E232" i="4"/>
  <c r="D232" i="4"/>
  <c r="C232" i="4"/>
  <c r="B232" i="4"/>
  <c r="L231" i="4"/>
  <c r="E231" i="4"/>
  <c r="D231" i="4"/>
  <c r="C231" i="4"/>
  <c r="B231" i="4"/>
  <c r="L230" i="4"/>
  <c r="E230" i="4"/>
  <c r="D230" i="4"/>
  <c r="C230" i="4"/>
  <c r="B230" i="4"/>
  <c r="L229" i="4"/>
  <c r="E229" i="4"/>
  <c r="D229" i="4"/>
  <c r="C229" i="4"/>
  <c r="B229" i="4"/>
  <c r="L228" i="4"/>
  <c r="E228" i="4"/>
  <c r="D228" i="4"/>
  <c r="C228" i="4"/>
  <c r="B228" i="4"/>
  <c r="L227" i="4"/>
  <c r="E227" i="4"/>
  <c r="D227" i="4"/>
  <c r="C227" i="4"/>
  <c r="B227" i="4"/>
  <c r="L226" i="4"/>
  <c r="E226" i="4"/>
  <c r="D226" i="4"/>
  <c r="C226" i="4"/>
  <c r="B226" i="4"/>
  <c r="L225" i="4"/>
  <c r="E225" i="4"/>
  <c r="D225" i="4"/>
  <c r="C225" i="4"/>
  <c r="B225" i="4"/>
  <c r="L224" i="4"/>
  <c r="E224" i="4"/>
  <c r="D224" i="4"/>
  <c r="C224" i="4"/>
  <c r="B224" i="4"/>
  <c r="L223" i="4"/>
  <c r="E223" i="4"/>
  <c r="D223" i="4"/>
  <c r="C223" i="4"/>
  <c r="B223" i="4"/>
  <c r="L222" i="4"/>
  <c r="E222" i="4"/>
  <c r="D222" i="4"/>
  <c r="C222" i="4"/>
  <c r="B222" i="4"/>
  <c r="L221" i="4"/>
  <c r="E221" i="4"/>
  <c r="D221" i="4"/>
  <c r="C221" i="4"/>
  <c r="B221" i="4"/>
  <c r="L220" i="4"/>
  <c r="E220" i="4"/>
  <c r="D220" i="4"/>
  <c r="C220" i="4"/>
  <c r="B220" i="4"/>
  <c r="L219" i="4"/>
  <c r="E219" i="4"/>
  <c r="D219" i="4"/>
  <c r="C219" i="4"/>
  <c r="B219" i="4"/>
  <c r="L218" i="4"/>
  <c r="E218" i="4"/>
  <c r="D218" i="4"/>
  <c r="C218" i="4"/>
  <c r="B218" i="4"/>
  <c r="L217" i="4"/>
  <c r="E217" i="4"/>
  <c r="D217" i="4"/>
  <c r="C217" i="4"/>
  <c r="B217" i="4"/>
  <c r="L216" i="4"/>
  <c r="E216" i="4"/>
  <c r="D216" i="4"/>
  <c r="C216" i="4"/>
  <c r="B216" i="4"/>
  <c r="L215" i="4"/>
  <c r="E215" i="4"/>
  <c r="D215" i="4"/>
  <c r="C215" i="4"/>
  <c r="B215" i="4"/>
  <c r="L214" i="4"/>
  <c r="E214" i="4"/>
  <c r="D214" i="4"/>
  <c r="C214" i="4"/>
  <c r="B214" i="4"/>
  <c r="L213" i="4"/>
  <c r="E213" i="4"/>
  <c r="D213" i="4"/>
  <c r="C213" i="4"/>
  <c r="B213" i="4"/>
  <c r="L212" i="4"/>
  <c r="E212" i="4"/>
  <c r="D212" i="4"/>
  <c r="C212" i="4"/>
  <c r="B212" i="4"/>
  <c r="L211" i="4"/>
  <c r="E211" i="4"/>
  <c r="D211" i="4"/>
  <c r="C211" i="4"/>
  <c r="B211" i="4"/>
  <c r="L210" i="4"/>
  <c r="E210" i="4"/>
  <c r="D210" i="4"/>
  <c r="C210" i="4"/>
  <c r="B210" i="4"/>
  <c r="L209" i="4"/>
  <c r="E209" i="4"/>
  <c r="D209" i="4"/>
  <c r="C209" i="4"/>
  <c r="B209" i="4"/>
  <c r="L208" i="4"/>
  <c r="E208" i="4"/>
  <c r="D208" i="4"/>
  <c r="C208" i="4"/>
  <c r="B208" i="4"/>
  <c r="L207" i="4"/>
  <c r="E207" i="4"/>
  <c r="D207" i="4"/>
  <c r="C207" i="4"/>
  <c r="B207" i="4"/>
  <c r="L206" i="4"/>
  <c r="E206" i="4"/>
  <c r="D206" i="4"/>
  <c r="C206" i="4"/>
  <c r="B206" i="4"/>
  <c r="L205" i="4"/>
  <c r="E205" i="4"/>
  <c r="D205" i="4"/>
  <c r="C205" i="4"/>
  <c r="B205" i="4"/>
  <c r="L204" i="4"/>
  <c r="E204" i="4"/>
  <c r="D204" i="4"/>
  <c r="C204" i="4"/>
  <c r="B204" i="4"/>
  <c r="L203" i="4"/>
  <c r="E203" i="4"/>
  <c r="D203" i="4"/>
  <c r="C203" i="4"/>
  <c r="B203" i="4"/>
  <c r="L202" i="4"/>
  <c r="E202" i="4"/>
  <c r="D202" i="4"/>
  <c r="C202" i="4"/>
  <c r="B202" i="4"/>
  <c r="L201" i="4"/>
  <c r="E201" i="4"/>
  <c r="D201" i="4"/>
  <c r="C201" i="4"/>
  <c r="B201" i="4"/>
  <c r="L200" i="4"/>
  <c r="E200" i="4"/>
  <c r="D200" i="4"/>
  <c r="C200" i="4"/>
  <c r="B200" i="4"/>
  <c r="L199" i="4"/>
  <c r="E199" i="4"/>
  <c r="D199" i="4"/>
  <c r="C199" i="4"/>
  <c r="B199" i="4"/>
  <c r="L198" i="4"/>
  <c r="E198" i="4"/>
  <c r="D198" i="4"/>
  <c r="C198" i="4"/>
  <c r="B198" i="4"/>
  <c r="L197" i="4"/>
  <c r="E197" i="4"/>
  <c r="D197" i="4"/>
  <c r="C197" i="4"/>
  <c r="B197" i="4"/>
  <c r="L196" i="4"/>
  <c r="E196" i="4"/>
  <c r="D196" i="4"/>
  <c r="C196" i="4"/>
  <c r="B196" i="4"/>
  <c r="L195" i="4"/>
  <c r="E195" i="4"/>
  <c r="D195" i="4"/>
  <c r="C195" i="4"/>
  <c r="B195" i="4"/>
  <c r="L194" i="4"/>
  <c r="E194" i="4"/>
  <c r="D194" i="4"/>
  <c r="C194" i="4"/>
  <c r="B194" i="4"/>
  <c r="L193" i="4"/>
  <c r="E193" i="4"/>
  <c r="D193" i="4"/>
  <c r="C193" i="4"/>
  <c r="B193" i="4"/>
  <c r="L192" i="4"/>
  <c r="E192" i="4"/>
  <c r="D192" i="4"/>
  <c r="C192" i="4"/>
  <c r="B192" i="4"/>
  <c r="L191" i="4"/>
  <c r="E191" i="4"/>
  <c r="D191" i="4"/>
  <c r="C191" i="4"/>
  <c r="B191" i="4"/>
  <c r="L190" i="4"/>
  <c r="E190" i="4"/>
  <c r="D190" i="4"/>
  <c r="C190" i="4"/>
  <c r="B190" i="4"/>
  <c r="L189" i="4"/>
  <c r="E189" i="4"/>
  <c r="D189" i="4"/>
  <c r="C189" i="4"/>
  <c r="B189" i="4"/>
  <c r="L188" i="4"/>
  <c r="E188" i="4"/>
  <c r="D188" i="4"/>
  <c r="C188" i="4"/>
  <c r="B188" i="4"/>
  <c r="L187" i="4"/>
  <c r="E187" i="4"/>
  <c r="D187" i="4"/>
  <c r="C187" i="4"/>
  <c r="B187" i="4"/>
  <c r="L186" i="4"/>
  <c r="E186" i="4"/>
  <c r="D186" i="4"/>
  <c r="C186" i="4"/>
  <c r="B186" i="4"/>
  <c r="L185" i="4"/>
  <c r="E185" i="4"/>
  <c r="D185" i="4"/>
  <c r="C185" i="4"/>
  <c r="B185" i="4"/>
  <c r="L184" i="4"/>
  <c r="E184" i="4"/>
  <c r="D184" i="4"/>
  <c r="C184" i="4"/>
  <c r="B184" i="4"/>
  <c r="L183" i="4"/>
  <c r="E183" i="4"/>
  <c r="D183" i="4"/>
  <c r="C183" i="4"/>
  <c r="B183" i="4"/>
  <c r="L182" i="4"/>
  <c r="E182" i="4"/>
  <c r="D182" i="4"/>
  <c r="C182" i="4"/>
  <c r="B182" i="4"/>
  <c r="L181" i="4"/>
  <c r="E181" i="4"/>
  <c r="D181" i="4"/>
  <c r="C181" i="4"/>
  <c r="B181" i="4"/>
  <c r="L180" i="4"/>
  <c r="E180" i="4"/>
  <c r="D180" i="4"/>
  <c r="C180" i="4"/>
  <c r="B180" i="4"/>
  <c r="L179" i="4"/>
  <c r="E179" i="4"/>
  <c r="D179" i="4"/>
  <c r="C179" i="4"/>
  <c r="B179" i="4"/>
  <c r="L178" i="4"/>
  <c r="E178" i="4"/>
  <c r="D178" i="4"/>
  <c r="C178" i="4"/>
  <c r="B178" i="4"/>
  <c r="L177" i="4"/>
  <c r="E177" i="4"/>
  <c r="D177" i="4"/>
  <c r="C177" i="4"/>
  <c r="B177" i="4"/>
  <c r="L176" i="4"/>
  <c r="E176" i="4"/>
  <c r="D176" i="4"/>
  <c r="C176" i="4"/>
  <c r="B176" i="4"/>
  <c r="L175" i="4"/>
  <c r="E175" i="4"/>
  <c r="D175" i="4"/>
  <c r="C175" i="4"/>
  <c r="B175" i="4"/>
  <c r="L174" i="4"/>
  <c r="E174" i="4"/>
  <c r="D174" i="4"/>
  <c r="C174" i="4"/>
  <c r="B174" i="4"/>
  <c r="L173" i="4"/>
  <c r="E173" i="4"/>
  <c r="D173" i="4"/>
  <c r="C173" i="4"/>
  <c r="B173" i="4"/>
  <c r="L172" i="4"/>
  <c r="E172" i="4"/>
  <c r="D172" i="4"/>
  <c r="C172" i="4"/>
  <c r="B172" i="4"/>
  <c r="L171" i="4"/>
  <c r="E171" i="4"/>
  <c r="D171" i="4"/>
  <c r="C171" i="4"/>
  <c r="B171" i="4"/>
  <c r="L170" i="4"/>
  <c r="E170" i="4"/>
  <c r="D170" i="4"/>
  <c r="C170" i="4"/>
  <c r="B170" i="4"/>
  <c r="L169" i="4"/>
  <c r="E169" i="4"/>
  <c r="D169" i="4"/>
  <c r="C169" i="4"/>
  <c r="B169" i="4"/>
  <c r="L168" i="4"/>
  <c r="E168" i="4"/>
  <c r="D168" i="4"/>
  <c r="C168" i="4"/>
  <c r="B168" i="4"/>
  <c r="L167" i="4"/>
  <c r="E167" i="4"/>
  <c r="D167" i="4"/>
  <c r="C167" i="4"/>
  <c r="B167" i="4"/>
  <c r="L166" i="4"/>
  <c r="E166" i="4"/>
  <c r="D166" i="4"/>
  <c r="C166" i="4"/>
  <c r="B166" i="4"/>
  <c r="L165" i="4"/>
  <c r="E165" i="4"/>
  <c r="D165" i="4"/>
  <c r="C165" i="4"/>
  <c r="B165" i="4"/>
  <c r="L164" i="4"/>
  <c r="E164" i="4"/>
  <c r="D164" i="4"/>
  <c r="C164" i="4"/>
  <c r="B164" i="4"/>
  <c r="L163" i="4"/>
  <c r="E163" i="4"/>
  <c r="D163" i="4"/>
  <c r="C163" i="4"/>
  <c r="B163" i="4"/>
  <c r="L162" i="4"/>
  <c r="E162" i="4"/>
  <c r="D162" i="4"/>
  <c r="C162" i="4"/>
  <c r="B162" i="4"/>
  <c r="L161" i="4"/>
  <c r="E161" i="4"/>
  <c r="D161" i="4"/>
  <c r="C161" i="4"/>
  <c r="B161" i="4"/>
  <c r="L160" i="4"/>
  <c r="E160" i="4"/>
  <c r="D160" i="4"/>
  <c r="C160" i="4"/>
  <c r="B160" i="4"/>
  <c r="L159" i="4"/>
  <c r="E159" i="4"/>
  <c r="D159" i="4"/>
  <c r="C159" i="4"/>
  <c r="B159" i="4"/>
  <c r="L158" i="4"/>
  <c r="E158" i="4"/>
  <c r="D158" i="4"/>
  <c r="C158" i="4"/>
  <c r="B158" i="4"/>
  <c r="L157" i="4"/>
  <c r="E157" i="4"/>
  <c r="D157" i="4"/>
  <c r="C157" i="4"/>
  <c r="B157" i="4"/>
  <c r="L156" i="4"/>
  <c r="E156" i="4"/>
  <c r="D156" i="4"/>
  <c r="C156" i="4"/>
  <c r="B156" i="4"/>
  <c r="L155" i="4"/>
  <c r="E155" i="4"/>
  <c r="D155" i="4"/>
  <c r="C155" i="4"/>
  <c r="B155" i="4"/>
  <c r="L154" i="4"/>
  <c r="E154" i="4"/>
  <c r="D154" i="4"/>
  <c r="C154" i="4"/>
  <c r="B154" i="4"/>
  <c r="L153" i="4"/>
  <c r="E153" i="4"/>
  <c r="D153" i="4"/>
  <c r="C153" i="4"/>
  <c r="B153" i="4"/>
  <c r="L152" i="4"/>
  <c r="E152" i="4"/>
  <c r="D152" i="4"/>
  <c r="C152" i="4"/>
  <c r="B152" i="4"/>
  <c r="L151" i="4"/>
  <c r="E151" i="4"/>
  <c r="D151" i="4"/>
  <c r="C151" i="4"/>
  <c r="B151" i="4"/>
  <c r="L150" i="4"/>
  <c r="E150" i="4"/>
  <c r="D150" i="4"/>
  <c r="C150" i="4"/>
  <c r="B150" i="4"/>
  <c r="L149" i="4"/>
  <c r="E149" i="4"/>
  <c r="D149" i="4"/>
  <c r="C149" i="4"/>
  <c r="B149" i="4"/>
  <c r="L148" i="4"/>
  <c r="E148" i="4"/>
  <c r="D148" i="4"/>
  <c r="C148" i="4"/>
  <c r="B148" i="4"/>
  <c r="L147" i="4"/>
  <c r="E147" i="4"/>
  <c r="D147" i="4"/>
  <c r="C147" i="4"/>
  <c r="B147" i="4"/>
  <c r="L146" i="4"/>
  <c r="E146" i="4"/>
  <c r="D146" i="4"/>
  <c r="C146" i="4"/>
  <c r="B146" i="4"/>
  <c r="L145" i="4"/>
  <c r="E145" i="4"/>
  <c r="D145" i="4"/>
  <c r="C145" i="4"/>
  <c r="B145" i="4"/>
  <c r="L144" i="4"/>
  <c r="E144" i="4"/>
  <c r="D144" i="4"/>
  <c r="C144" i="4"/>
  <c r="B144" i="4"/>
  <c r="L143" i="4"/>
  <c r="E143" i="4"/>
  <c r="D143" i="4"/>
  <c r="C143" i="4"/>
  <c r="B143" i="4"/>
  <c r="L142" i="4"/>
  <c r="E142" i="4"/>
  <c r="D142" i="4"/>
  <c r="C142" i="4"/>
  <c r="B142" i="4"/>
  <c r="L141" i="4"/>
  <c r="E141" i="4"/>
  <c r="D141" i="4"/>
  <c r="C141" i="4"/>
  <c r="B141" i="4"/>
  <c r="L140" i="4"/>
  <c r="E140" i="4"/>
  <c r="D140" i="4"/>
  <c r="C140" i="4"/>
  <c r="B140" i="4"/>
  <c r="L139" i="4"/>
  <c r="E139" i="4"/>
  <c r="D139" i="4"/>
  <c r="C139" i="4"/>
  <c r="B139" i="4"/>
  <c r="L138" i="4"/>
  <c r="E138" i="4"/>
  <c r="D138" i="4"/>
  <c r="C138" i="4"/>
  <c r="B138" i="4"/>
  <c r="L137" i="4"/>
  <c r="E137" i="4"/>
  <c r="D137" i="4"/>
  <c r="C137" i="4"/>
  <c r="B137" i="4"/>
  <c r="L136" i="4"/>
  <c r="E136" i="4"/>
  <c r="D136" i="4"/>
  <c r="C136" i="4"/>
  <c r="B136" i="4"/>
  <c r="L135" i="4"/>
  <c r="E135" i="4"/>
  <c r="D135" i="4"/>
  <c r="C135" i="4"/>
  <c r="B135" i="4"/>
  <c r="L134" i="4"/>
  <c r="E134" i="4"/>
  <c r="D134" i="4"/>
  <c r="C134" i="4"/>
  <c r="B134" i="4"/>
  <c r="L133" i="4"/>
  <c r="E133" i="4"/>
  <c r="D133" i="4"/>
  <c r="C133" i="4"/>
  <c r="B133" i="4"/>
  <c r="L132" i="4"/>
  <c r="E132" i="4"/>
  <c r="D132" i="4"/>
  <c r="C132" i="4"/>
  <c r="B132" i="4"/>
  <c r="L131" i="4"/>
  <c r="E131" i="4"/>
  <c r="D131" i="4"/>
  <c r="C131" i="4"/>
  <c r="B131" i="4"/>
  <c r="L130" i="4"/>
  <c r="E130" i="4"/>
  <c r="D130" i="4"/>
  <c r="C130" i="4"/>
  <c r="B130" i="4"/>
  <c r="L129" i="4"/>
  <c r="E129" i="4"/>
  <c r="D129" i="4"/>
  <c r="C129" i="4"/>
  <c r="B129" i="4"/>
  <c r="L128" i="4"/>
  <c r="E128" i="4"/>
  <c r="D128" i="4"/>
  <c r="C128" i="4"/>
  <c r="B128" i="4"/>
  <c r="L127" i="4"/>
  <c r="E127" i="4"/>
  <c r="D127" i="4"/>
  <c r="C127" i="4"/>
  <c r="B127" i="4"/>
  <c r="L126" i="4"/>
  <c r="E126" i="4"/>
  <c r="D126" i="4"/>
  <c r="C126" i="4"/>
  <c r="B126" i="4"/>
  <c r="L125" i="4"/>
  <c r="E125" i="4"/>
  <c r="D125" i="4"/>
  <c r="C125" i="4"/>
  <c r="B125" i="4"/>
  <c r="L124" i="4"/>
  <c r="E124" i="4"/>
  <c r="D124" i="4"/>
  <c r="C124" i="4"/>
  <c r="B124" i="4"/>
  <c r="L123" i="4"/>
  <c r="E123" i="4"/>
  <c r="D123" i="4"/>
  <c r="C123" i="4"/>
  <c r="B123" i="4"/>
  <c r="L122" i="4"/>
  <c r="E122" i="4"/>
  <c r="D122" i="4"/>
  <c r="C122" i="4"/>
  <c r="B122" i="4"/>
  <c r="L121" i="4"/>
  <c r="E121" i="4"/>
  <c r="D121" i="4"/>
  <c r="C121" i="4"/>
  <c r="B121" i="4"/>
  <c r="L120" i="4"/>
  <c r="E120" i="4"/>
  <c r="D120" i="4"/>
  <c r="C120" i="4"/>
  <c r="B120" i="4"/>
  <c r="L119" i="4"/>
  <c r="E119" i="4"/>
  <c r="D119" i="4"/>
  <c r="C119" i="4"/>
  <c r="B119" i="4"/>
  <c r="L118" i="4"/>
  <c r="E118" i="4"/>
  <c r="D118" i="4"/>
  <c r="C118" i="4"/>
  <c r="B118" i="4"/>
  <c r="L117" i="4"/>
  <c r="E117" i="4"/>
  <c r="D117" i="4"/>
  <c r="C117" i="4"/>
  <c r="B117" i="4"/>
  <c r="L116" i="4"/>
  <c r="E116" i="4"/>
  <c r="D116" i="4"/>
  <c r="C116" i="4"/>
  <c r="B116" i="4"/>
  <c r="L115" i="4"/>
  <c r="E115" i="4"/>
  <c r="D115" i="4"/>
  <c r="C115" i="4"/>
  <c r="B115" i="4"/>
  <c r="L114" i="4"/>
  <c r="E114" i="4"/>
  <c r="D114" i="4"/>
  <c r="C114" i="4"/>
  <c r="B114" i="4"/>
  <c r="L113" i="4"/>
  <c r="E113" i="4"/>
  <c r="D113" i="4"/>
  <c r="C113" i="4"/>
  <c r="B113" i="4"/>
  <c r="L112" i="4"/>
  <c r="E112" i="4"/>
  <c r="D112" i="4"/>
  <c r="C112" i="4"/>
  <c r="B112" i="4"/>
  <c r="L111" i="4"/>
  <c r="E111" i="4"/>
  <c r="D111" i="4"/>
  <c r="C111" i="4"/>
  <c r="B111" i="4"/>
  <c r="L110" i="4"/>
  <c r="E110" i="4"/>
  <c r="D110" i="4"/>
  <c r="C110" i="4"/>
  <c r="B110" i="4"/>
  <c r="L109" i="4"/>
  <c r="E109" i="4"/>
  <c r="D109" i="4"/>
  <c r="C109" i="4"/>
  <c r="B109" i="4"/>
  <c r="L108" i="4"/>
  <c r="E108" i="4"/>
  <c r="D108" i="4"/>
  <c r="C108" i="4"/>
  <c r="B108" i="4"/>
  <c r="L107" i="4"/>
  <c r="E107" i="4"/>
  <c r="D107" i="4"/>
  <c r="C107" i="4"/>
  <c r="B107" i="4"/>
  <c r="L106" i="4"/>
  <c r="E106" i="4"/>
  <c r="D106" i="4"/>
  <c r="C106" i="4"/>
  <c r="B106" i="4"/>
  <c r="L105" i="4"/>
  <c r="E105" i="4"/>
  <c r="D105" i="4"/>
  <c r="C105" i="4"/>
  <c r="B105" i="4"/>
  <c r="L104" i="4"/>
  <c r="E104" i="4"/>
  <c r="D104" i="4"/>
  <c r="C104" i="4"/>
  <c r="B104" i="4"/>
  <c r="L103" i="4"/>
  <c r="E103" i="4"/>
  <c r="D103" i="4"/>
  <c r="C103" i="4"/>
  <c r="B103" i="4"/>
  <c r="L102" i="4"/>
  <c r="E102" i="4"/>
  <c r="D102" i="4"/>
  <c r="C102" i="4"/>
  <c r="B102" i="4"/>
  <c r="L101" i="4"/>
  <c r="E101" i="4"/>
  <c r="D101" i="4"/>
  <c r="C101" i="4"/>
  <c r="B101" i="4"/>
  <c r="L100" i="4"/>
  <c r="E100" i="4"/>
  <c r="D100" i="4"/>
  <c r="C100" i="4"/>
  <c r="B100" i="4"/>
  <c r="L99" i="4"/>
  <c r="E99" i="4"/>
  <c r="D99" i="4"/>
  <c r="C99" i="4"/>
  <c r="B99" i="4"/>
  <c r="L98" i="4"/>
  <c r="E98" i="4"/>
  <c r="D98" i="4"/>
  <c r="C98" i="4"/>
  <c r="B98" i="4"/>
  <c r="L97" i="4"/>
  <c r="E97" i="4"/>
  <c r="D97" i="4"/>
  <c r="C97" i="4"/>
  <c r="B97" i="4"/>
  <c r="L96" i="4"/>
  <c r="E96" i="4"/>
  <c r="D96" i="4"/>
  <c r="C96" i="4"/>
  <c r="B96" i="4"/>
  <c r="L95" i="4"/>
  <c r="E95" i="4"/>
  <c r="D95" i="4"/>
  <c r="C95" i="4"/>
  <c r="B95" i="4"/>
  <c r="L94" i="4"/>
  <c r="E94" i="4"/>
  <c r="D94" i="4"/>
  <c r="C94" i="4"/>
  <c r="B94" i="4"/>
  <c r="L93" i="4"/>
  <c r="E93" i="4"/>
  <c r="D93" i="4"/>
  <c r="C93" i="4"/>
  <c r="B93" i="4"/>
  <c r="L92" i="4"/>
  <c r="E92" i="4"/>
  <c r="D92" i="4"/>
  <c r="C92" i="4"/>
  <c r="B92" i="4"/>
  <c r="L91" i="4"/>
  <c r="E91" i="4"/>
  <c r="D91" i="4"/>
  <c r="C91" i="4"/>
  <c r="B91" i="4"/>
  <c r="L90" i="4"/>
  <c r="E90" i="4"/>
  <c r="D90" i="4"/>
  <c r="C90" i="4"/>
  <c r="B90" i="4"/>
  <c r="L89" i="4"/>
  <c r="E89" i="4"/>
  <c r="D89" i="4"/>
  <c r="C89" i="4"/>
  <c r="B89" i="4"/>
  <c r="L88" i="4"/>
  <c r="E88" i="4"/>
  <c r="D88" i="4"/>
  <c r="C88" i="4"/>
  <c r="B88" i="4"/>
  <c r="L87" i="4"/>
  <c r="E87" i="4"/>
  <c r="D87" i="4"/>
  <c r="C87" i="4"/>
  <c r="B87" i="4"/>
  <c r="L86" i="4"/>
  <c r="E86" i="4"/>
  <c r="D86" i="4"/>
  <c r="C86" i="4"/>
  <c r="B86" i="4"/>
  <c r="L85" i="4"/>
  <c r="E85" i="4"/>
  <c r="D85" i="4"/>
  <c r="C85" i="4"/>
  <c r="B85" i="4"/>
  <c r="L84" i="4"/>
  <c r="E84" i="4"/>
  <c r="D84" i="4"/>
  <c r="C84" i="4"/>
  <c r="B84" i="4"/>
  <c r="L83" i="4"/>
  <c r="E83" i="4"/>
  <c r="D83" i="4"/>
  <c r="C83" i="4"/>
  <c r="B83" i="4"/>
  <c r="L82" i="4"/>
  <c r="E82" i="4"/>
  <c r="D82" i="4"/>
  <c r="C82" i="4"/>
  <c r="B82" i="4"/>
  <c r="L81" i="4"/>
  <c r="E81" i="4"/>
  <c r="D81" i="4"/>
  <c r="C81" i="4"/>
  <c r="B81" i="4"/>
  <c r="L80" i="4"/>
  <c r="E80" i="4"/>
  <c r="D80" i="4"/>
  <c r="C80" i="4"/>
  <c r="B80" i="4"/>
  <c r="L79" i="4"/>
  <c r="E79" i="4"/>
  <c r="D79" i="4"/>
  <c r="C79" i="4"/>
  <c r="B79" i="4"/>
  <c r="L78" i="4"/>
  <c r="E78" i="4"/>
  <c r="D78" i="4"/>
  <c r="C78" i="4"/>
  <c r="B78" i="4"/>
  <c r="L77" i="4"/>
  <c r="E77" i="4"/>
  <c r="D77" i="4"/>
  <c r="C77" i="4"/>
  <c r="B77" i="4"/>
  <c r="L76" i="4"/>
  <c r="E76" i="4"/>
  <c r="D76" i="4"/>
  <c r="C76" i="4"/>
  <c r="B76" i="4"/>
  <c r="L75" i="4"/>
  <c r="E75" i="4"/>
  <c r="D75" i="4"/>
  <c r="C75" i="4"/>
  <c r="B75" i="4"/>
  <c r="L74" i="4"/>
  <c r="E74" i="4"/>
  <c r="D74" i="4"/>
  <c r="C74" i="4"/>
  <c r="B74" i="4"/>
  <c r="L73" i="4"/>
  <c r="E73" i="4"/>
  <c r="D73" i="4"/>
  <c r="C73" i="4"/>
  <c r="B73" i="4"/>
  <c r="L72" i="4"/>
  <c r="E72" i="4"/>
  <c r="D72" i="4"/>
  <c r="C72" i="4"/>
  <c r="B72" i="4"/>
  <c r="L71" i="4"/>
  <c r="E71" i="4"/>
  <c r="D71" i="4"/>
  <c r="C71" i="4"/>
  <c r="B71" i="4"/>
  <c r="L70" i="4"/>
  <c r="E70" i="4"/>
  <c r="D70" i="4"/>
  <c r="C70" i="4"/>
  <c r="B70" i="4"/>
  <c r="L69" i="4"/>
  <c r="E69" i="4"/>
  <c r="D69" i="4"/>
  <c r="C69" i="4"/>
  <c r="B69" i="4"/>
  <c r="L68" i="4"/>
  <c r="E68" i="4"/>
  <c r="D68" i="4"/>
  <c r="C68" i="4"/>
  <c r="B68" i="4"/>
  <c r="L67" i="4"/>
  <c r="E67" i="4"/>
  <c r="D67" i="4"/>
  <c r="C67" i="4"/>
  <c r="B67" i="4"/>
  <c r="L66" i="4"/>
  <c r="E66" i="4"/>
  <c r="D66" i="4"/>
  <c r="C66" i="4"/>
  <c r="B66" i="4"/>
  <c r="L65" i="4"/>
  <c r="E65" i="4"/>
  <c r="D65" i="4"/>
  <c r="C65" i="4"/>
  <c r="B65" i="4"/>
  <c r="L64" i="4"/>
  <c r="E64" i="4"/>
  <c r="D64" i="4"/>
  <c r="C64" i="4"/>
  <c r="B64" i="4"/>
  <c r="L63" i="4"/>
  <c r="E63" i="4"/>
  <c r="D63" i="4"/>
  <c r="C63" i="4"/>
  <c r="B63" i="4"/>
  <c r="L62" i="4"/>
  <c r="E62" i="4"/>
  <c r="D62" i="4"/>
  <c r="C62" i="4"/>
  <c r="B62" i="4"/>
  <c r="L61" i="4"/>
  <c r="E61" i="4"/>
  <c r="D61" i="4"/>
  <c r="C61" i="4"/>
  <c r="B61" i="4"/>
  <c r="L60" i="4"/>
  <c r="E60" i="4"/>
  <c r="D60" i="4"/>
  <c r="C60" i="4"/>
  <c r="B60" i="4"/>
  <c r="L59" i="4"/>
  <c r="E59" i="4"/>
  <c r="D59" i="4"/>
  <c r="C59" i="4"/>
  <c r="B59" i="4"/>
  <c r="L58" i="4"/>
  <c r="E58" i="4"/>
  <c r="D58" i="4"/>
  <c r="C58" i="4"/>
  <c r="B58" i="4"/>
  <c r="L57" i="4"/>
  <c r="E57" i="4"/>
  <c r="D57" i="4"/>
  <c r="C57" i="4"/>
  <c r="B57" i="4"/>
  <c r="L56" i="4"/>
  <c r="E56" i="4"/>
  <c r="D56" i="4"/>
  <c r="C56" i="4"/>
  <c r="B56" i="4"/>
  <c r="L55" i="4"/>
  <c r="E55" i="4"/>
  <c r="D55" i="4"/>
  <c r="C55" i="4"/>
  <c r="B55" i="4"/>
  <c r="L54" i="4"/>
  <c r="E54" i="4"/>
  <c r="D54" i="4"/>
  <c r="C54" i="4"/>
  <c r="B54" i="4"/>
  <c r="L53" i="4"/>
  <c r="E53" i="4"/>
  <c r="D53" i="4"/>
  <c r="C53" i="4"/>
  <c r="B53" i="4"/>
  <c r="L52" i="4"/>
  <c r="E52" i="4"/>
  <c r="D52" i="4"/>
  <c r="C52" i="4"/>
  <c r="B52" i="4"/>
  <c r="L51" i="4"/>
  <c r="E51" i="4"/>
  <c r="D51" i="4"/>
  <c r="C51" i="4"/>
  <c r="B51" i="4"/>
  <c r="L50" i="4"/>
  <c r="E50" i="4"/>
  <c r="D50" i="4"/>
  <c r="C50" i="4"/>
  <c r="B50" i="4"/>
  <c r="L49" i="4"/>
  <c r="E49" i="4"/>
  <c r="D49" i="4"/>
  <c r="C49" i="4"/>
  <c r="B49" i="4"/>
  <c r="L48" i="4"/>
  <c r="E48" i="4"/>
  <c r="D48" i="4"/>
  <c r="C48" i="4"/>
  <c r="B48" i="4"/>
  <c r="L47" i="4"/>
  <c r="E47" i="4"/>
  <c r="D47" i="4"/>
  <c r="C47" i="4"/>
  <c r="B47" i="4"/>
  <c r="L46" i="4"/>
  <c r="E46" i="4"/>
  <c r="D46" i="4"/>
  <c r="C46" i="4"/>
  <c r="B46" i="4"/>
  <c r="L45" i="4"/>
  <c r="E45" i="4"/>
  <c r="D45" i="4"/>
  <c r="C45" i="4"/>
  <c r="B45" i="4"/>
  <c r="L44" i="4"/>
  <c r="E44" i="4"/>
  <c r="D44" i="4"/>
  <c r="C44" i="4"/>
  <c r="B44" i="4"/>
  <c r="L43" i="4"/>
  <c r="E43" i="4"/>
  <c r="D43" i="4"/>
  <c r="C43" i="4"/>
  <c r="B43" i="4"/>
  <c r="L42" i="4"/>
  <c r="E42" i="4"/>
  <c r="D42" i="4"/>
  <c r="C42" i="4"/>
  <c r="B42" i="4"/>
  <c r="L41" i="4"/>
  <c r="E41" i="4"/>
  <c r="D41" i="4"/>
  <c r="C41" i="4"/>
  <c r="B41" i="4"/>
  <c r="L40" i="4"/>
  <c r="E40" i="4"/>
  <c r="D40" i="4"/>
  <c r="C40" i="4"/>
  <c r="B40" i="4"/>
  <c r="L39" i="4"/>
  <c r="E39" i="4"/>
  <c r="D39" i="4"/>
  <c r="C39" i="4"/>
  <c r="B39" i="4"/>
  <c r="L38" i="4"/>
  <c r="E38" i="4"/>
  <c r="D38" i="4"/>
  <c r="C38" i="4"/>
  <c r="B38" i="4"/>
  <c r="L37" i="4"/>
  <c r="E37" i="4"/>
  <c r="D37" i="4"/>
  <c r="C37" i="4"/>
  <c r="B37" i="4"/>
  <c r="L36" i="4"/>
  <c r="E36" i="4"/>
  <c r="D36" i="4"/>
  <c r="C36" i="4"/>
  <c r="B36" i="4"/>
  <c r="L35" i="4"/>
  <c r="E35" i="4"/>
  <c r="D35" i="4"/>
  <c r="C35" i="4"/>
  <c r="B35" i="4"/>
  <c r="L34" i="4"/>
  <c r="E34" i="4"/>
  <c r="D34" i="4"/>
  <c r="C34" i="4"/>
  <c r="B34" i="4"/>
  <c r="L33" i="4"/>
  <c r="E33" i="4"/>
  <c r="D33" i="4"/>
  <c r="C33" i="4"/>
  <c r="B33" i="4"/>
  <c r="L32" i="4"/>
  <c r="E32" i="4"/>
  <c r="D32" i="4"/>
  <c r="C32" i="4"/>
  <c r="B32" i="4"/>
  <c r="L31" i="4"/>
  <c r="E31" i="4"/>
  <c r="D31" i="4"/>
  <c r="C31" i="4"/>
  <c r="B31" i="4"/>
  <c r="L30" i="4"/>
  <c r="E30" i="4"/>
  <c r="D30" i="4"/>
  <c r="C30" i="4"/>
  <c r="B30" i="4"/>
  <c r="L29" i="4"/>
  <c r="E29" i="4"/>
  <c r="D29" i="4"/>
  <c r="C29" i="4"/>
  <c r="B29" i="4"/>
  <c r="L28" i="4"/>
  <c r="E28" i="4"/>
  <c r="D28" i="4"/>
  <c r="C28" i="4"/>
  <c r="B28" i="4"/>
  <c r="L27" i="4"/>
  <c r="E27" i="4"/>
  <c r="D27" i="4"/>
  <c r="C27" i="4"/>
  <c r="B27" i="4"/>
  <c r="L26" i="4"/>
  <c r="E26" i="4"/>
  <c r="D26" i="4"/>
  <c r="C26" i="4"/>
  <c r="B26" i="4"/>
  <c r="L25" i="4"/>
  <c r="E25" i="4"/>
  <c r="D25" i="4"/>
  <c r="C25" i="4"/>
  <c r="B25" i="4"/>
  <c r="L24" i="4"/>
  <c r="E24" i="4"/>
  <c r="D24" i="4"/>
  <c r="C24" i="4"/>
  <c r="B24" i="4"/>
  <c r="L23" i="4"/>
  <c r="E23" i="4"/>
  <c r="D23" i="4"/>
  <c r="C23" i="4"/>
  <c r="B23" i="4"/>
  <c r="L22" i="4"/>
  <c r="E22" i="4"/>
  <c r="D22" i="4"/>
  <c r="C22" i="4"/>
  <c r="B22" i="4"/>
  <c r="L21" i="4"/>
  <c r="E21" i="4"/>
  <c r="D21" i="4"/>
  <c r="C21" i="4"/>
  <c r="B21" i="4"/>
  <c r="L20" i="4"/>
  <c r="E20" i="4"/>
  <c r="D20" i="4"/>
  <c r="C20" i="4"/>
  <c r="B20" i="4"/>
  <c r="L19" i="4"/>
  <c r="E19" i="4"/>
  <c r="D19" i="4"/>
  <c r="C19" i="4"/>
  <c r="B19" i="4"/>
  <c r="L18" i="4"/>
  <c r="E18" i="4"/>
  <c r="D18" i="4"/>
  <c r="C18" i="4"/>
  <c r="B18" i="4"/>
  <c r="L17" i="4"/>
  <c r="E17" i="4"/>
  <c r="D17" i="4"/>
  <c r="C17" i="4"/>
  <c r="B17" i="4"/>
  <c r="L16" i="4"/>
  <c r="E16" i="4"/>
  <c r="D16" i="4"/>
  <c r="C16" i="4"/>
  <c r="B16" i="4"/>
  <c r="L15" i="4"/>
  <c r="E15" i="4"/>
  <c r="D15" i="4"/>
  <c r="C15" i="4"/>
  <c r="B15" i="4"/>
  <c r="L14" i="4"/>
  <c r="E14" i="4"/>
  <c r="D14" i="4"/>
  <c r="C14" i="4"/>
  <c r="B14" i="4"/>
  <c r="L13" i="4"/>
  <c r="E13" i="4"/>
  <c r="D13" i="4"/>
  <c r="C13" i="4"/>
  <c r="B13" i="4"/>
  <c r="L12" i="4"/>
  <c r="E12" i="4"/>
  <c r="D12" i="4"/>
  <c r="C12" i="4"/>
  <c r="B12" i="4"/>
  <c r="L11" i="4"/>
  <c r="E11" i="4"/>
  <c r="D11" i="4"/>
  <c r="C11" i="4"/>
  <c r="B11" i="4"/>
  <c r="L10" i="4"/>
  <c r="E10" i="4"/>
  <c r="D10" i="4"/>
  <c r="C10" i="4"/>
  <c r="B10" i="4"/>
  <c r="L9" i="4"/>
  <c r="E9" i="4"/>
  <c r="D9" i="4"/>
  <c r="C9" i="4"/>
  <c r="B9" i="4"/>
  <c r="L8" i="4"/>
  <c r="E8" i="4"/>
  <c r="D8" i="4"/>
  <c r="C8" i="4"/>
  <c r="B8" i="4"/>
  <c r="L7" i="4"/>
  <c r="E7" i="4"/>
  <c r="D7" i="4"/>
  <c r="C7" i="4"/>
  <c r="B7" i="4"/>
  <c r="L6" i="4"/>
  <c r="E6" i="4"/>
  <c r="D6" i="4"/>
  <c r="C6" i="4"/>
  <c r="B6" i="4"/>
  <c r="L5" i="4"/>
  <c r="E5" i="4"/>
  <c r="D5" i="4"/>
  <c r="C5" i="4"/>
  <c r="B5" i="4"/>
  <c r="L4" i="4"/>
  <c r="E4" i="4"/>
  <c r="D4" i="4"/>
  <c r="C4" i="4"/>
  <c r="B4" i="4"/>
  <c r="C3" i="53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" i="53"/>
  <c r="D2" i="53"/>
  <c r="D3" i="53"/>
  <c r="D4" i="53"/>
  <c r="D5" i="53"/>
  <c r="D6" i="53"/>
  <c r="D7" i="53"/>
  <c r="D8" i="53"/>
  <c r="D9" i="53"/>
  <c r="D10" i="53"/>
  <c r="D11" i="53"/>
  <c r="D12" i="53"/>
  <c r="D13" i="53"/>
  <c r="D14" i="53"/>
  <c r="D15" i="53"/>
  <c r="D16" i="53"/>
  <c r="D17" i="53"/>
  <c r="D18" i="53"/>
  <c r="D19" i="53"/>
  <c r="D20" i="53"/>
  <c r="D21" i="53"/>
  <c r="D22" i="53"/>
  <c r="D23" i="53"/>
  <c r="D24" i="53"/>
  <c r="C2" i="2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N5" i="5" a="1"/>
  <c r="N5" i="5" s="1"/>
  <c r="N6" i="5" a="1"/>
  <c r="N6" i="5" s="1"/>
  <c r="N7" i="5" a="1"/>
  <c r="N7" i="5" s="1"/>
  <c r="N8" i="5" a="1"/>
  <c r="N8" i="5" s="1"/>
  <c r="N9" i="5" a="1"/>
  <c r="N9" i="5" s="1"/>
  <c r="N10" i="5" a="1"/>
  <c r="N10" i="5" s="1"/>
  <c r="N11" i="5" a="1"/>
  <c r="N11" i="5" s="1"/>
  <c r="N12" i="5" a="1"/>
  <c r="N12" i="5" s="1"/>
  <c r="N13" i="5" a="1"/>
  <c r="N13" i="5" s="1"/>
  <c r="N14" i="5" a="1"/>
  <c r="N14" i="5" s="1"/>
  <c r="N15" i="5" a="1"/>
  <c r="N15" i="5" s="1"/>
  <c r="N16" i="5" a="1"/>
  <c r="N16" i="5" s="1"/>
  <c r="N17" i="5" a="1"/>
  <c r="N17" i="5" s="1"/>
  <c r="N18" i="5" a="1"/>
  <c r="N18" i="5" s="1"/>
  <c r="N19" i="5" a="1"/>
  <c r="N19" i="5" s="1"/>
  <c r="N20" i="5" a="1"/>
  <c r="N20" i="5" s="1"/>
  <c r="N21" i="5" a="1"/>
  <c r="N21" i="5" s="1"/>
  <c r="N22" i="5" a="1"/>
  <c r="N22" i="5" s="1"/>
  <c r="N23" i="5" a="1"/>
  <c r="N23" i="5" s="1"/>
  <c r="N24" i="5" a="1"/>
  <c r="N24" i="5" s="1"/>
  <c r="N25" i="5" a="1"/>
  <c r="N25" i="5" s="1"/>
  <c r="N26" i="5" a="1"/>
  <c r="N26" i="5" s="1"/>
  <c r="N27" i="5" a="1"/>
  <c r="N27" i="5" s="1"/>
  <c r="N28" i="5" a="1"/>
  <c r="N28" i="5" s="1"/>
  <c r="N29" i="5" a="1"/>
  <c r="N29" i="5" s="1"/>
  <c r="N30" i="5" a="1"/>
  <c r="N30" i="5" s="1"/>
  <c r="N31" i="5" a="1"/>
  <c r="N31" i="5" s="1"/>
  <c r="N32" i="5" a="1"/>
  <c r="N32" i="5" s="1"/>
  <c r="N33" i="5" a="1"/>
  <c r="N33" i="5" s="1"/>
  <c r="N34" i="5" a="1"/>
  <c r="N34" i="5" s="1"/>
  <c r="N35" i="5" a="1"/>
  <c r="N35" i="5" s="1"/>
  <c r="N36" i="5" a="1"/>
  <c r="N36" i="5" s="1"/>
  <c r="N37" i="5" a="1"/>
  <c r="N37" i="5" s="1"/>
  <c r="N38" i="5" a="1"/>
  <c r="N38" i="5" s="1"/>
  <c r="N39" i="5" a="1"/>
  <c r="N39" i="5" s="1"/>
  <c r="N4" i="5" a="1"/>
  <c r="N4" i="5" s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H20" i="3"/>
  <c r="H83" i="3"/>
  <c r="H74" i="3"/>
  <c r="F11" i="3"/>
  <c r="I11" i="3" s="1"/>
  <c r="F16" i="2"/>
  <c r="F17" i="2"/>
  <c r="F18" i="2"/>
  <c r="F19" i="2"/>
  <c r="C29" i="2"/>
  <c r="F29" i="2"/>
  <c r="I29" i="2"/>
  <c r="J29" i="2"/>
  <c r="C16" i="2"/>
  <c r="I16" i="2"/>
  <c r="J16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7" i="2"/>
  <c r="I18" i="2"/>
  <c r="I19" i="2"/>
  <c r="I20" i="2"/>
  <c r="I21" i="2"/>
  <c r="I22" i="2"/>
  <c r="I23" i="2"/>
  <c r="I24" i="2"/>
  <c r="I25" i="2"/>
  <c r="I26" i="2"/>
  <c r="I27" i="2"/>
  <c r="I28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20" i="2"/>
  <c r="F21" i="2"/>
  <c r="F22" i="2"/>
  <c r="F23" i="2"/>
  <c r="F24" i="2"/>
  <c r="F25" i="2"/>
  <c r="F26" i="2"/>
  <c r="F27" i="2"/>
  <c r="F28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7" i="2"/>
  <c r="J18" i="2"/>
  <c r="J19" i="2"/>
  <c r="J20" i="2"/>
  <c r="J21" i="2"/>
  <c r="J22" i="2"/>
  <c r="J23" i="2"/>
  <c r="J24" i="2"/>
  <c r="J25" i="2"/>
  <c r="J26" i="2"/>
  <c r="J27" i="2"/>
  <c r="J28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H313" i="3"/>
  <c r="E313" i="3"/>
  <c r="H312" i="3"/>
  <c r="E312" i="3"/>
  <c r="H311" i="3"/>
  <c r="E311" i="3"/>
  <c r="H310" i="3"/>
  <c r="E310" i="3"/>
  <c r="H309" i="3"/>
  <c r="E309" i="3"/>
  <c r="H308" i="3"/>
  <c r="E308" i="3"/>
  <c r="H307" i="3"/>
  <c r="E307" i="3"/>
  <c r="H306" i="3"/>
  <c r="E306" i="3"/>
  <c r="H305" i="3"/>
  <c r="E305" i="3"/>
  <c r="H304" i="3"/>
  <c r="E304" i="3"/>
  <c r="H303" i="3"/>
  <c r="E303" i="3"/>
  <c r="H302" i="3"/>
  <c r="E302" i="3"/>
  <c r="H301" i="3"/>
  <c r="E301" i="3"/>
  <c r="E300" i="3"/>
  <c r="H299" i="3"/>
  <c r="E299" i="3"/>
  <c r="H298" i="3"/>
  <c r="E298" i="3"/>
  <c r="H297" i="3"/>
  <c r="E297" i="3"/>
  <c r="H296" i="3"/>
  <c r="E296" i="3"/>
  <c r="H295" i="3"/>
  <c r="E295" i="3"/>
  <c r="H294" i="3"/>
  <c r="E294" i="3"/>
  <c r="H293" i="3"/>
  <c r="E293" i="3"/>
  <c r="H292" i="3"/>
  <c r="E292" i="3"/>
  <c r="H291" i="3"/>
  <c r="E291" i="3"/>
  <c r="H290" i="3"/>
  <c r="E290" i="3"/>
  <c r="H289" i="3"/>
  <c r="E289" i="3"/>
  <c r="H288" i="3"/>
  <c r="E288" i="3"/>
  <c r="H287" i="3"/>
  <c r="E287" i="3"/>
  <c r="H286" i="3"/>
  <c r="E286" i="3"/>
  <c r="H285" i="3"/>
  <c r="E285" i="3"/>
  <c r="H284" i="3"/>
  <c r="E284" i="3"/>
  <c r="H283" i="3"/>
  <c r="E283" i="3"/>
  <c r="H282" i="3"/>
  <c r="E282" i="3"/>
  <c r="H281" i="3"/>
  <c r="E281" i="3"/>
  <c r="H280" i="3"/>
  <c r="E280" i="3"/>
  <c r="H279" i="3"/>
  <c r="E279" i="3"/>
  <c r="H278" i="3"/>
  <c r="E278" i="3"/>
  <c r="H277" i="3"/>
  <c r="E277" i="3"/>
  <c r="H276" i="3"/>
  <c r="E276" i="3"/>
  <c r="H275" i="3"/>
  <c r="E275" i="3"/>
  <c r="E274" i="3"/>
  <c r="H273" i="3"/>
  <c r="E273" i="3"/>
  <c r="H272" i="3"/>
  <c r="E272" i="3"/>
  <c r="H271" i="3"/>
  <c r="E271" i="3"/>
  <c r="H270" i="3"/>
  <c r="E270" i="3"/>
  <c r="H269" i="3"/>
  <c r="E269" i="3"/>
  <c r="H268" i="3"/>
  <c r="E268" i="3"/>
  <c r="H267" i="3"/>
  <c r="E267" i="3"/>
  <c r="H266" i="3"/>
  <c r="E266" i="3"/>
  <c r="H265" i="3"/>
  <c r="E265" i="3"/>
  <c r="H264" i="3"/>
  <c r="E264" i="3"/>
  <c r="H263" i="3"/>
  <c r="E263" i="3"/>
  <c r="H262" i="3"/>
  <c r="E262" i="3"/>
  <c r="H261" i="3"/>
  <c r="E261" i="3"/>
  <c r="H260" i="3"/>
  <c r="E260" i="3"/>
  <c r="H259" i="3"/>
  <c r="E259" i="3"/>
  <c r="H258" i="3"/>
  <c r="E258" i="3"/>
  <c r="H257" i="3"/>
  <c r="E257" i="3"/>
  <c r="H256" i="3"/>
  <c r="E256" i="3"/>
  <c r="H255" i="3"/>
  <c r="E255" i="3"/>
  <c r="E254" i="3"/>
  <c r="H253" i="3"/>
  <c r="E253" i="3"/>
  <c r="H252" i="3"/>
  <c r="E252" i="3"/>
  <c r="H251" i="3"/>
  <c r="E251" i="3"/>
  <c r="H250" i="3"/>
  <c r="E250" i="3"/>
  <c r="H249" i="3"/>
  <c r="E249" i="3"/>
  <c r="H248" i="3"/>
  <c r="E248" i="3"/>
  <c r="H247" i="3"/>
  <c r="E247" i="3"/>
  <c r="H246" i="3"/>
  <c r="E246" i="3"/>
  <c r="H245" i="3"/>
  <c r="E245" i="3"/>
  <c r="H244" i="3"/>
  <c r="E244" i="3"/>
  <c r="H243" i="3"/>
  <c r="E243" i="3"/>
  <c r="H242" i="3"/>
  <c r="E242" i="3"/>
  <c r="H241" i="3"/>
  <c r="E241" i="3"/>
  <c r="H240" i="3"/>
  <c r="E240" i="3"/>
  <c r="H239" i="3"/>
  <c r="E239" i="3"/>
  <c r="H238" i="3"/>
  <c r="E238" i="3"/>
  <c r="H237" i="3"/>
  <c r="E237" i="3"/>
  <c r="H236" i="3"/>
  <c r="E236" i="3"/>
  <c r="H235" i="3"/>
  <c r="E235" i="3"/>
  <c r="E234" i="3"/>
  <c r="H233" i="3"/>
  <c r="E233" i="3"/>
  <c r="H232" i="3"/>
  <c r="E232" i="3"/>
  <c r="H231" i="3"/>
  <c r="E231" i="3"/>
  <c r="H230" i="3"/>
  <c r="E230" i="3"/>
  <c r="H229" i="3"/>
  <c r="E229" i="3"/>
  <c r="H228" i="3"/>
  <c r="E228" i="3"/>
  <c r="H227" i="3"/>
  <c r="E227" i="3"/>
  <c r="H226" i="3"/>
  <c r="E226" i="3"/>
  <c r="H225" i="3"/>
  <c r="E225" i="3"/>
  <c r="E224" i="3"/>
  <c r="H223" i="3"/>
  <c r="E223" i="3"/>
  <c r="H222" i="3"/>
  <c r="E222" i="3"/>
  <c r="H221" i="3"/>
  <c r="E221" i="3"/>
  <c r="H220" i="3"/>
  <c r="E220" i="3"/>
  <c r="H219" i="3"/>
  <c r="E219" i="3"/>
  <c r="H218" i="3"/>
  <c r="E218" i="3"/>
  <c r="H217" i="3"/>
  <c r="E217" i="3"/>
  <c r="H216" i="3"/>
  <c r="E216" i="3"/>
  <c r="H215" i="3"/>
  <c r="E215" i="3"/>
  <c r="H214" i="3"/>
  <c r="E214" i="3"/>
  <c r="H213" i="3"/>
  <c r="E213" i="3"/>
  <c r="H212" i="3"/>
  <c r="E212" i="3"/>
  <c r="H211" i="3"/>
  <c r="E211" i="3"/>
  <c r="H210" i="3"/>
  <c r="E210" i="3"/>
  <c r="H209" i="3"/>
  <c r="E209" i="3"/>
  <c r="H208" i="3"/>
  <c r="E208" i="3"/>
  <c r="H207" i="3"/>
  <c r="E207" i="3"/>
  <c r="H206" i="3"/>
  <c r="E206" i="3"/>
  <c r="H205" i="3"/>
  <c r="E205" i="3"/>
  <c r="H204" i="3"/>
  <c r="E204" i="3"/>
  <c r="H203" i="3"/>
  <c r="E203" i="3"/>
  <c r="H202" i="3"/>
  <c r="E202" i="3"/>
  <c r="H201" i="3"/>
  <c r="E201" i="3"/>
  <c r="H200" i="3"/>
  <c r="E200" i="3"/>
  <c r="H199" i="3"/>
  <c r="E199" i="3"/>
  <c r="H198" i="3"/>
  <c r="E198" i="3"/>
  <c r="H197" i="3"/>
  <c r="E197" i="3"/>
  <c r="E196" i="3"/>
  <c r="H195" i="3"/>
  <c r="E195" i="3"/>
  <c r="H194" i="3"/>
  <c r="E194" i="3"/>
  <c r="H193" i="3"/>
  <c r="E193" i="3"/>
  <c r="H192" i="3"/>
  <c r="E192" i="3"/>
  <c r="H191" i="3"/>
  <c r="E191" i="3"/>
  <c r="H190" i="3"/>
  <c r="E190" i="3"/>
  <c r="H189" i="3"/>
  <c r="E189" i="3"/>
  <c r="H188" i="3"/>
  <c r="E188" i="3"/>
  <c r="H187" i="3"/>
  <c r="E187" i="3"/>
  <c r="H186" i="3"/>
  <c r="E186" i="3"/>
  <c r="H185" i="3"/>
  <c r="E185" i="3"/>
  <c r="H184" i="3"/>
  <c r="E184" i="3"/>
  <c r="H183" i="3"/>
  <c r="E183" i="3"/>
  <c r="H182" i="3"/>
  <c r="E182" i="3"/>
  <c r="H181" i="3"/>
  <c r="E181" i="3"/>
  <c r="H180" i="3"/>
  <c r="E180" i="3"/>
  <c r="H179" i="3"/>
  <c r="E179" i="3"/>
  <c r="H178" i="3"/>
  <c r="E178" i="3"/>
  <c r="H177" i="3"/>
  <c r="E177" i="3"/>
  <c r="H176" i="3"/>
  <c r="E176" i="3"/>
  <c r="H175" i="3"/>
  <c r="E175" i="3"/>
  <c r="H174" i="3"/>
  <c r="E174" i="3"/>
  <c r="H173" i="3"/>
  <c r="E173" i="3"/>
  <c r="H172" i="3"/>
  <c r="E172" i="3"/>
  <c r="H171" i="3"/>
  <c r="E171" i="3"/>
  <c r="H170" i="3"/>
  <c r="E170" i="3"/>
  <c r="H169" i="3"/>
  <c r="E169" i="3"/>
  <c r="H168" i="3"/>
  <c r="E168" i="3"/>
  <c r="H167" i="3"/>
  <c r="E167" i="3"/>
  <c r="H166" i="3"/>
  <c r="E166" i="3"/>
  <c r="H165" i="3"/>
  <c r="E165" i="3"/>
  <c r="H164" i="3"/>
  <c r="E164" i="3"/>
  <c r="H163" i="3"/>
  <c r="E163" i="3"/>
  <c r="H162" i="3"/>
  <c r="E162" i="3"/>
  <c r="H161" i="3"/>
  <c r="E161" i="3"/>
  <c r="H160" i="3"/>
  <c r="E160" i="3"/>
  <c r="H159" i="3"/>
  <c r="E159" i="3"/>
  <c r="H158" i="3"/>
  <c r="E158" i="3"/>
  <c r="E157" i="3"/>
  <c r="H156" i="3"/>
  <c r="E156" i="3"/>
  <c r="H155" i="3"/>
  <c r="E155" i="3"/>
  <c r="H154" i="3"/>
  <c r="E154" i="3"/>
  <c r="H153" i="3"/>
  <c r="E153" i="3"/>
  <c r="H152" i="3"/>
  <c r="E152" i="3"/>
  <c r="H151" i="3"/>
  <c r="E151" i="3"/>
  <c r="H150" i="3"/>
  <c r="E150" i="3"/>
  <c r="H149" i="3"/>
  <c r="E149" i="3"/>
  <c r="H148" i="3"/>
  <c r="E148" i="3"/>
  <c r="H147" i="3"/>
  <c r="E147" i="3"/>
  <c r="H146" i="3"/>
  <c r="E146" i="3"/>
  <c r="H145" i="3"/>
  <c r="E145" i="3"/>
  <c r="H144" i="3"/>
  <c r="E144" i="3"/>
  <c r="H143" i="3"/>
  <c r="E143" i="3"/>
  <c r="H142" i="3"/>
  <c r="E142" i="3"/>
  <c r="H141" i="3"/>
  <c r="E141" i="3"/>
  <c r="H140" i="3"/>
  <c r="E140" i="3"/>
  <c r="H139" i="3"/>
  <c r="E139" i="3"/>
  <c r="H138" i="3"/>
  <c r="E138" i="3"/>
  <c r="E137" i="3"/>
  <c r="H137" i="3"/>
  <c r="J47" i="2" l="1"/>
  <c r="I144" i="3"/>
  <c r="I312" i="3"/>
  <c r="I289" i="3"/>
  <c r="I293" i="3"/>
  <c r="I288" i="3"/>
  <c r="I306" i="3"/>
  <c r="I282" i="3"/>
  <c r="I278" i="3"/>
  <c r="I195" i="3"/>
  <c r="I244" i="3"/>
  <c r="I309" i="3"/>
  <c r="I313" i="3"/>
  <c r="I160" i="3"/>
  <c r="I164" i="3"/>
  <c r="I184" i="3"/>
  <c r="I258" i="3"/>
  <c r="I262" i="3"/>
  <c r="I266" i="3"/>
  <c r="I270" i="3"/>
  <c r="I279" i="3"/>
  <c r="I287" i="3"/>
  <c r="I291" i="3"/>
  <c r="I295" i="3"/>
  <c r="I299" i="3"/>
  <c r="I307" i="3"/>
  <c r="I290" i="3"/>
  <c r="I140" i="3"/>
  <c r="I148" i="3"/>
  <c r="I156" i="3"/>
  <c r="I246" i="3"/>
  <c r="I250" i="3"/>
  <c r="I311" i="3"/>
  <c r="I308" i="3"/>
  <c r="I298" i="3"/>
  <c r="I310" i="3"/>
  <c r="I227" i="3"/>
  <c r="I284" i="3"/>
  <c r="I141" i="3"/>
  <c r="I165" i="3"/>
  <c r="I169" i="3"/>
  <c r="I197" i="3"/>
  <c r="I237" i="3"/>
  <c r="I241" i="3"/>
  <c r="I301" i="3"/>
  <c r="I305" i="3"/>
  <c r="I268" i="3"/>
  <c r="I252" i="3"/>
  <c r="I249" i="3"/>
  <c r="I253" i="3"/>
  <c r="I257" i="3"/>
  <c r="I261" i="3"/>
  <c r="I269" i="3"/>
  <c r="I273" i="3"/>
  <c r="I277" i="3"/>
  <c r="I285" i="3"/>
  <c r="I218" i="3"/>
  <c r="I222" i="3"/>
  <c r="I235" i="3"/>
  <c r="I239" i="3"/>
  <c r="I180" i="3"/>
  <c r="I243" i="3"/>
  <c r="I251" i="3"/>
  <c r="I255" i="3"/>
  <c r="I259" i="3"/>
  <c r="I263" i="3"/>
  <c r="I267" i="3"/>
  <c r="I275" i="3"/>
  <c r="I283" i="3"/>
  <c r="I302" i="3"/>
  <c r="I221" i="3"/>
  <c r="I292" i="3"/>
  <c r="I245" i="3"/>
  <c r="I151" i="3"/>
  <c r="I155" i="3"/>
  <c r="I159" i="3"/>
  <c r="I163" i="3"/>
  <c r="I175" i="3"/>
  <c r="I187" i="3"/>
  <c r="I199" i="3"/>
  <c r="I211" i="3"/>
  <c r="I215" i="3"/>
  <c r="I219" i="3"/>
  <c r="I231" i="3"/>
  <c r="I242" i="3"/>
  <c r="I260" i="3"/>
  <c r="I264" i="3"/>
  <c r="I286" i="3"/>
  <c r="I296" i="3"/>
  <c r="I303" i="3"/>
  <c r="I238" i="3"/>
  <c r="I200" i="3"/>
  <c r="I220" i="3"/>
  <c r="I228" i="3"/>
  <c r="I272" i="3"/>
  <c r="I138" i="3"/>
  <c r="I172" i="3"/>
  <c r="I265" i="3"/>
  <c r="I276" i="3"/>
  <c r="I280" i="3"/>
  <c r="I297" i="3"/>
  <c r="I304" i="3"/>
  <c r="I271" i="3"/>
  <c r="I236" i="3"/>
  <c r="I240" i="3"/>
  <c r="I247" i="3"/>
  <c r="I281" i="3"/>
  <c r="I294" i="3"/>
  <c r="I256" i="3"/>
  <c r="I201" i="3"/>
  <c r="I248" i="3"/>
  <c r="I209" i="3"/>
  <c r="I233" i="3"/>
  <c r="I139" i="3"/>
  <c r="I182" i="3"/>
  <c r="I186" i="3"/>
  <c r="I190" i="3"/>
  <c r="I194" i="3"/>
  <c r="I143" i="3"/>
  <c r="I171" i="3"/>
  <c r="I210" i="3"/>
  <c r="I214" i="3"/>
  <c r="I226" i="3"/>
  <c r="I146" i="3"/>
  <c r="I205" i="3"/>
  <c r="I229" i="3"/>
  <c r="I152" i="3"/>
  <c r="I232" i="3"/>
  <c r="I230" i="3"/>
  <c r="I137" i="3"/>
  <c r="I142" i="3"/>
  <c r="I149" i="3"/>
  <c r="I153" i="3"/>
  <c r="I161" i="3"/>
  <c r="I176" i="3"/>
  <c r="I191" i="3"/>
  <c r="I202" i="3"/>
  <c r="I206" i="3"/>
  <c r="I213" i="3"/>
  <c r="I223" i="3"/>
  <c r="I217" i="3"/>
  <c r="I150" i="3"/>
  <c r="I154" i="3"/>
  <c r="I158" i="3"/>
  <c r="I162" i="3"/>
  <c r="I173" i="3"/>
  <c r="I177" i="3"/>
  <c r="I188" i="3"/>
  <c r="I192" i="3"/>
  <c r="I203" i="3"/>
  <c r="I207" i="3"/>
  <c r="I168" i="3"/>
  <c r="I198" i="3"/>
  <c r="I147" i="3"/>
  <c r="I166" i="3"/>
  <c r="I170" i="3"/>
  <c r="I181" i="3"/>
  <c r="I185" i="3"/>
  <c r="I145" i="3"/>
  <c r="I183" i="3"/>
  <c r="I216" i="3"/>
  <c r="I174" i="3"/>
  <c r="I178" i="3"/>
  <c r="I189" i="3"/>
  <c r="I193" i="3"/>
  <c r="I204" i="3"/>
  <c r="I208" i="3"/>
  <c r="I225" i="3"/>
  <c r="I167" i="3"/>
  <c r="I179" i="3"/>
  <c r="I212" i="3"/>
  <c r="E136" i="3"/>
  <c r="H136" i="3"/>
  <c r="H78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I20" i="3" s="1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H2" i="3"/>
  <c r="H4" i="3"/>
  <c r="H7" i="3"/>
  <c r="H8" i="3"/>
  <c r="H9" i="3"/>
  <c r="H10" i="3"/>
  <c r="H12" i="3"/>
  <c r="H13" i="3"/>
  <c r="H14" i="3"/>
  <c r="H15" i="3"/>
  <c r="H16" i="3"/>
  <c r="H17" i="3"/>
  <c r="H19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5" i="3"/>
  <c r="H76" i="3"/>
  <c r="H77" i="3"/>
  <c r="H79" i="3"/>
  <c r="H80" i="3"/>
  <c r="H81" i="3"/>
  <c r="H82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I83" i="3" l="1"/>
  <c r="I74" i="3"/>
  <c r="I109" i="3"/>
  <c r="I132" i="3"/>
  <c r="I84" i="3"/>
  <c r="I131" i="3"/>
  <c r="I130" i="3"/>
  <c r="I122" i="3"/>
  <c r="I114" i="3"/>
  <c r="I106" i="3"/>
  <c r="I98" i="3"/>
  <c r="I90" i="3"/>
  <c r="I133" i="3"/>
  <c r="I116" i="3"/>
  <c r="I92" i="3"/>
  <c r="I123" i="3"/>
  <c r="I99" i="3"/>
  <c r="I105" i="3"/>
  <c r="I117" i="3"/>
  <c r="I108" i="3"/>
  <c r="I107" i="3"/>
  <c r="I125" i="3"/>
  <c r="I93" i="3"/>
  <c r="I124" i="3"/>
  <c r="I100" i="3"/>
  <c r="I4" i="3"/>
  <c r="I115" i="3"/>
  <c r="I91" i="3"/>
  <c r="I112" i="3"/>
  <c r="I135" i="3"/>
  <c r="I127" i="3"/>
  <c r="I119" i="3"/>
  <c r="I111" i="3"/>
  <c r="I103" i="3"/>
  <c r="I95" i="3"/>
  <c r="I87" i="3"/>
  <c r="I101" i="3"/>
  <c r="I85" i="3"/>
  <c r="I102" i="3"/>
  <c r="I86" i="3"/>
  <c r="I68" i="3"/>
  <c r="I60" i="3"/>
  <c r="I52" i="3"/>
  <c r="I44" i="3"/>
  <c r="I36" i="3"/>
  <c r="I28" i="3"/>
  <c r="I76" i="3"/>
  <c r="I81" i="3"/>
  <c r="I67" i="3"/>
  <c r="I59" i="3"/>
  <c r="I51" i="3"/>
  <c r="I43" i="3"/>
  <c r="I35" i="3"/>
  <c r="I27" i="3"/>
  <c r="I136" i="3"/>
  <c r="I77" i="3"/>
  <c r="I13" i="3"/>
  <c r="I12" i="3"/>
  <c r="I69" i="3"/>
  <c r="I61" i="3"/>
  <c r="I53" i="3"/>
  <c r="I45" i="3"/>
  <c r="I37" i="3"/>
  <c r="I29" i="3"/>
  <c r="I21" i="3"/>
  <c r="I19" i="3"/>
  <c r="I71" i="3"/>
  <c r="I31" i="3"/>
  <c r="I63" i="3"/>
  <c r="I55" i="3"/>
  <c r="I47" i="3"/>
  <c r="I39" i="3"/>
  <c r="I23" i="3"/>
  <c r="I79" i="3"/>
  <c r="I10" i="3"/>
  <c r="I75" i="3"/>
  <c r="I42" i="3"/>
  <c r="I66" i="3"/>
  <c r="I58" i="3"/>
  <c r="I50" i="3"/>
  <c r="I34" i="3"/>
  <c r="I26" i="3"/>
  <c r="I7" i="3"/>
  <c r="I15" i="3"/>
  <c r="I82" i="3"/>
  <c r="I72" i="3"/>
  <c r="I64" i="3"/>
  <c r="I56" i="3"/>
  <c r="I48" i="3"/>
  <c r="I40" i="3"/>
  <c r="I32" i="3"/>
  <c r="I24" i="3"/>
  <c r="I14" i="3"/>
  <c r="I2" i="3"/>
  <c r="I80" i="3"/>
  <c r="I78" i="3"/>
  <c r="I97" i="3"/>
  <c r="I128" i="3"/>
  <c r="I120" i="3"/>
  <c r="I104" i="3"/>
  <c r="I96" i="3"/>
  <c r="I88" i="3"/>
  <c r="I70" i="3"/>
  <c r="I62" i="3"/>
  <c r="I54" i="3"/>
  <c r="I46" i="3"/>
  <c r="I38" i="3"/>
  <c r="I30" i="3"/>
  <c r="I22" i="3"/>
  <c r="I134" i="3"/>
  <c r="I126" i="3"/>
  <c r="I118" i="3"/>
  <c r="I110" i="3"/>
  <c r="I94" i="3"/>
  <c r="I9" i="3"/>
  <c r="I17" i="3"/>
  <c r="I8" i="3"/>
  <c r="I129" i="3"/>
  <c r="I113" i="3"/>
  <c r="I89" i="3"/>
  <c r="I16" i="3"/>
  <c r="I121" i="3"/>
  <c r="I73" i="3"/>
  <c r="I65" i="3"/>
  <c r="I57" i="3"/>
  <c r="I49" i="3"/>
  <c r="I41" i="3"/>
  <c r="I33" i="3"/>
  <c r="I25" i="3"/>
  <c r="J304" i="3" l="1" a="1"/>
  <c r="J304" i="3" s="1"/>
  <c r="J308" i="3" a="1"/>
  <c r="J308" i="3" s="1"/>
  <c r="J307" i="3" a="1"/>
  <c r="J307" i="3" s="1"/>
  <c r="J305" i="3" a="1"/>
  <c r="J305" i="3" s="1"/>
  <c r="J306" i="3" a="1"/>
  <c r="J306" i="3" s="1"/>
  <c r="J314" i="3" a="1"/>
  <c r="J314" i="3" s="1"/>
  <c r="J318" i="3" a="1"/>
  <c r="J318" i="3" s="1"/>
  <c r="J322" i="3" a="1"/>
  <c r="J322" i="3" s="1"/>
  <c r="J319" i="3" a="1"/>
  <c r="J319" i="3" s="1"/>
  <c r="J316" i="3" a="1"/>
  <c r="J316" i="3" s="1"/>
  <c r="J315" i="3" a="1"/>
  <c r="J315" i="3" s="1"/>
  <c r="J323" i="3" a="1"/>
  <c r="J323" i="3" s="1"/>
  <c r="J320" i="3" a="1"/>
  <c r="J320" i="3" s="1"/>
  <c r="J313" i="3" a="1"/>
  <c r="J313" i="3" s="1"/>
  <c r="J317" i="3" a="1"/>
  <c r="J317" i="3" s="1"/>
  <c r="J321" i="3" a="1"/>
  <c r="J32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5EA0FC-A2B7-4B43-A64C-E7D22C276E46}" keepAlive="1" name="Query - Data_depth_integrated" description="Connection to the 'Data_depth_integrated' query in the workbook." type="5" refreshedVersion="0" background="1">
    <dbPr connection="Provider=Microsoft.Mashup.OleDb.1;Data Source=$Workbook$;Location=Data_depth_integrated;Extended Properties=&quot;&quot;" command="SELECT * FROM [Data_depth_integrated]"/>
  </connection>
  <connection id="2" xr16:uid="{077AD877-6DC4-4587-B5C4-67656E8C4724}" keepAlive="1" name="Query - Data_filter_paper_weights" description="Connection to the 'Data_filter_paper_weights' query in the workbook." type="5" refreshedVersion="0" background="1">
    <dbPr connection="Provider=Microsoft.Mashup.OleDb.1;Data Source=$Workbook$;Location=Data_filter_paper_weights;Extended Properties=&quot;&quot;" command="SELECT * FROM [Data_filter_paper_weights]"/>
  </connection>
  <connection id="3" xr16:uid="{F2B5D411-60F2-4D33-9C53-D75177EBFEE3}" keepAlive="1" name="Query - One Way ANOVA  average_we 1" description="Connection to the 'One Way ANOVA  average_we 1' query in the workbook." type="5" refreshedVersion="0" background="1">
    <dbPr connection="Provider=Microsoft.Mashup.OleDb.1;Data Source=$Workbook$;Location=&quot;One Way ANOVA  average_we 1&quot;;Extended Properties=&quot;&quot;" command="SELECT * FROM [One Way ANOVA  average_we 1]"/>
  </connection>
  <connection id="4" xr16:uid="{FB9CF380-F046-47F5-9DB1-142FA4F70030}" keepAlive="1" name="Query - One Way ANOVA  average_we 2" description="Connection to the 'One Way ANOVA  average_we 2' query in the workbook." type="5" refreshedVersion="0" background="1">
    <dbPr connection="Provider=Microsoft.Mashup.OleDb.1;Data Source=$Workbook$;Location=&quot;One Way ANOVA  average_we 2&quot;;Extended Properties=&quot;&quot;" command="SELECT * FROM [One Way ANOVA  average_we 2]"/>
  </connection>
  <connection id="5" xr16:uid="{6A21DFB8-DB2A-49A3-B085-356C9142FAEC}" keepAlive="1" name="Query - One Way ANOVA  average_we 3" description="Connection to the 'One Way ANOVA  average_we 3' query in the workbook." type="5" refreshedVersion="0" background="1">
    <dbPr connection="Provider=Microsoft.Mashup.OleDb.1;Data Source=$Workbook$;Location=&quot;One Way ANOVA  average_we 3&quot;;Extended Properties=&quot;&quot;" command="SELECT * FROM [One Way ANOVA  average_we 3]"/>
  </connection>
  <connection id="6" xr16:uid="{81E77EB7-6B08-4C1D-A32C-E22483B7CFBD}" keepAlive="1" name="Query - One Way ANOVA  average_we 4" description="Connection to the 'One Way ANOVA  average_we 4' query in the workbook." type="5" refreshedVersion="0" background="1">
    <dbPr connection="Provider=Microsoft.Mashup.OleDb.1;Data Source=$Workbook$;Location=&quot;One Way ANOVA  average_we 4&quot;;Extended Properties=&quot;&quot;" command="SELECT * FROM [One Way ANOVA  average_we 4]"/>
  </connection>
  <connection id="7" xr16:uid="{DF32F412-3579-4DA4-B85F-E2A0D24F57C5}" keepAlive="1" name="Query - One Way ANOVA  average_we 5" description="Connection to the 'One Way ANOVA  average_we 5' query in the workbook." type="5" refreshedVersion="0" background="1">
    <dbPr connection="Provider=Microsoft.Mashup.OleDb.1;Data Source=$Workbook$;Location=&quot;One Way ANOVA  average_we 5&quot;;Extended Properties=&quot;&quot;" command="SELECT * FROM [One Way ANOVA  average_we 5]"/>
  </connection>
  <connection id="8" xr16:uid="{6CFDD716-944C-4A12-A116-C841A6E795EB}" keepAlive="1" name="Query - Results_one_way_ANOVA_DI" description="Connection to the 'Results_one_way_ANOVA_DI' query in the workbook." type="5" refreshedVersion="8" background="1" saveData="1">
    <dbPr connection="Provider=Microsoft.Mashup.OleDb.1;Data Source=$Workbook$;Location=Results_one_way_ANOVA_DI;Extended Properties=&quot;&quot;" command="SELECT * FROM [Results_one_way_ANOVA_DI]"/>
  </connection>
  <connection id="9" xr16:uid="{FD59F543-F990-4FD9-8735-02A13548DE3B}" keepAlive="1" name="Query - Results_two_way_ANOVA" description="Connection to the 'Results_two_way_ANOVA' query in the workbook." type="5" refreshedVersion="8" background="1" saveData="1">
    <dbPr connection="Provider=Microsoft.Mashup.OleDb.1;Data Source=$Workbook$;Location=Results_two_way_ANOVA;Extended Properties=&quot;&quot;" command="SELECT * FROM [Results_two_way_ANOVA]"/>
  </connection>
  <connection id="10" xr16:uid="{B452A869-7602-48D0-A3BC-372D793597FC}" keepAlive="1" name="Query - TSS_retention" description="Connection to the 'TSS_retention' query in the workbook." type="5" refreshedVersion="0" background="1">
    <dbPr connection="Provider=Microsoft.Mashup.OleDb.1;Data Source=$Workbook$;Location=TSS_retention;Extended Properties=&quot;&quot;" command="SELECT * FROM [TSS_retention]"/>
  </connection>
  <connection id="11" xr16:uid="{796F79B7-651E-446A-B1B2-0B8A32FE54E4}" keepAlive="1" name="Query - Two Way ANOVA  average_we 1" description="Connection to the 'Two Way ANOVA  average_we 1' query in the workbook." type="5" refreshedVersion="0" background="1">
    <dbPr connection="Provider=Microsoft.Mashup.OleDb.1;Data Source=$Workbook$;Location=&quot;Two Way ANOVA  average_we 1&quot;;Extended Properties=&quot;&quot;" command="SELECT * FROM [Two Way ANOVA  average_we 1]"/>
  </connection>
  <connection id="12" xr16:uid="{558A8CD6-92D6-4A83-99A4-3A7BFA8B61E9}" keepAlive="1" name="Query - Two Way ANOVA  average_we 2" description="Connection to the 'Two Way ANOVA  average_we 2' query in the workbook." type="5" refreshedVersion="0" background="1">
    <dbPr connection="Provider=Microsoft.Mashup.OleDb.1;Data Source=$Workbook$;Location=&quot;Two Way ANOVA  average_we 2&quot;;Extended Properties=&quot;&quot;" command="SELECT * FROM [Two Way ANOVA  average_we 2]"/>
  </connection>
  <connection id="13" xr16:uid="{262FDA23-CF54-41E4-AE73-1910843EF219}" keepAlive="1" name="Query - Two Way ANOVA  average_we 4" description="Connection to the 'Two Way ANOVA  average_we 4' query in the workbook." type="5" refreshedVersion="0" background="1">
    <dbPr connection="Provider=Microsoft.Mashup.OleDb.1;Data Source=$Workbook$;Location=&quot;Two Way ANOVA  average_we 4&quot;;Extended Properties=&quot;&quot;" command="SELECT * FROM [Two Way ANOVA  average_we 4]"/>
  </connection>
  <connection id="14" xr16:uid="{4DF9B807-3AB2-4779-AD5D-BE1B04DEBBCC}" keepAlive="1" name="Query - Two Way ANOVA  average_we 5" description="Connection to the 'Two Way ANOVA  average_we 5' query in the workbook." type="5" refreshedVersion="0" background="1">
    <dbPr connection="Provider=Microsoft.Mashup.OleDb.1;Data Source=$Workbook$;Location=&quot;Two Way ANOVA  average_we 5&quot;;Extended Properties=&quot;&quot;" command="SELECT * FROM [Two Way ANOVA  average_we 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<sst xmlns="http://schemas.openxmlformats.org/spreadsheetml/2006/main" count="1420" uniqueCount="891">
  <si>
    <t>Plot</t>
  </si>
  <si>
    <t>Location</t>
  </si>
  <si>
    <t>Sub_location</t>
  </si>
  <si>
    <t>Code_(plot+location)</t>
  </si>
  <si>
    <t>Code_(plot+location+sub_location)</t>
  </si>
  <si>
    <t>Filter_paper_number</t>
  </si>
  <si>
    <t>Weight_1</t>
  </si>
  <si>
    <t>Weight_2</t>
  </si>
  <si>
    <t>Weight_3</t>
  </si>
  <si>
    <t>Average_weight</t>
  </si>
  <si>
    <t>Sampling_day</t>
  </si>
  <si>
    <t>HT_(=TRUE)/LT_(=FALSE)</t>
  </si>
  <si>
    <t>Taken_(=TRUE)/Skipped_(=FALSE)</t>
  </si>
  <si>
    <t>B_middle</t>
  </si>
  <si>
    <t>B_end</t>
  </si>
  <si>
    <t>Day_1</t>
  </si>
  <si>
    <t>Day_2</t>
  </si>
  <si>
    <t>Day_3</t>
  </si>
  <si>
    <t>Total_Number_of_Samples_Taken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</si>
  <si>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</si>
  <si>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</si>
  <si>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</si>
  <si>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</si>
  <si>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</si>
  <si>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</si>
  <si>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</si>
  <si>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</si>
  <si>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</si>
  <si>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</si>
  <si>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</si>
  <si>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</si>
  <si>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</si>
  <si>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</si>
  <si>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</si>
  <si>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</si>
  <si>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</si>
  <si>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</si>
  <si>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</si>
  <si>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</si>
  <si>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</si>
  <si>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</si>
  <si>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</si>
  <si>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</si>
  <si>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</si>
  <si>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</si>
  <si>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</si>
  <si>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</si>
  <si>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</si>
  <si>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</si>
  <si>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</si>
  <si>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</si>
  <si>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</si>
  <si>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</si>
  <si>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</si>
  <si>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</si>
  <si>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</si>
  <si>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</si>
  <si>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</si>
  <si>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</si>
  <si>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</si>
  <si>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</si>
  <si>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</si>
  <si>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</si>
  <si>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</si>
  <si>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</si>
  <si>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</si>
  <si>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</si>
  <si>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</si>
  <si>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</si>
  <si>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</si>
  <si>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</si>
  <si>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</si>
  <si>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</si>
  <si>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</si>
  <si>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</si>
  <si>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</si>
  <si>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</si>
  <si>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</si>
  <si>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</si>
  <si>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</si>
  <si>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</si>
  <si>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</si>
  <si>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</si>
  <si>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</si>
  <si>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</si>
  <si>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</si>
  <si>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</si>
  <si>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</si>
  <si>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</si>
  <si>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</si>
  <si>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</si>
  <si>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</si>
  <si>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</si>
  <si>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</si>
  <si>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</si>
  <si>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</si>
  <si>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</si>
  <si>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</si>
  <si>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</si>
  <si>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</si>
  <si>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</si>
  <si>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</si>
  <si>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</si>
  <si>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</si>
  <si>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</si>
  <si>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</si>
  <si>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</si>
  <si>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</si>
  <si>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</si>
  <si>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</si>
  <si>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</si>
  <si>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</si>
  <si>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</si>
  <si>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</si>
  <si>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</si>
  <si>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</si>
  <si>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</si>
  <si>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</si>
  <si>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</si>
  <si>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</si>
  <si>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</si>
  <si>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</si>
  <si>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</si>
  <si>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</si>
  <si>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</si>
  <si>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</si>
  <si>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</si>
  <si>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</si>
  <si>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</si>
  <si>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</si>
  <si>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</si>
  <si>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</si>
  <si>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</si>
  <si>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</si>
  <si>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</si>
  <si>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</si>
  <si>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</si>
  <si>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</si>
  <si>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</si>
  <si>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</si>
  <si>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</si>
  <si>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</si>
  <si>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</si>
  <si>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Water_column_position_(T_M_B)</t>
  </si>
  <si>
    <t>T</t>
  </si>
  <si>
    <t>M</t>
  </si>
  <si>
    <t>B</t>
  </si>
  <si>
    <t>Code_(plot+location+sampling_day+position+HT/LT)</t>
  </si>
  <si>
    <t>Code_(plot+location+sub_location+sampling_day+HT/LT)</t>
  </si>
  <si>
    <t/>
  </si>
  <si>
    <t>TDS_(g/L)</t>
  </si>
  <si>
    <t>HC_(=TRUE)/LC_(=FALSE)</t>
  </si>
  <si>
    <t>Total_sampling_time</t>
  </si>
  <si>
    <t>Depth_of_water_column_to_sediment_layer</t>
  </si>
  <si>
    <t>Depth_to_bottom_of_sediment_layer</t>
  </si>
  <si>
    <t>6_D_2_Day_1_HT</t>
  </si>
  <si>
    <t>6_D_2_Day_1_LT</t>
  </si>
  <si>
    <t>6_D_2_Day_2_HT</t>
  </si>
  <si>
    <t>6_D_2_Day_2_LT</t>
  </si>
  <si>
    <t>6_D_2_Day_3_HT</t>
  </si>
  <si>
    <t>6_D_2_Day_3_LT</t>
  </si>
  <si>
    <t>6_E_2_Day_1_HT</t>
  </si>
  <si>
    <t>6_E_2_Day_1_LT</t>
  </si>
  <si>
    <t>6_E_2_Day_2_HT</t>
  </si>
  <si>
    <t>6_E_2_Day_2_LT</t>
  </si>
  <si>
    <t>6_E_2_Day_3_HT</t>
  </si>
  <si>
    <t>6_E_2_Day_3_LT</t>
  </si>
  <si>
    <t>6_F_2_Day_1_HT</t>
  </si>
  <si>
    <t>6_F_2_Day_1_LT</t>
  </si>
  <si>
    <t>6_F_2_Day_2_HT</t>
  </si>
  <si>
    <t>6_F_2_Day_2_LT</t>
  </si>
  <si>
    <t>6_F_2_Day_3_HT</t>
  </si>
  <si>
    <t>6_F_2_Day_3_LT</t>
  </si>
  <si>
    <t>6_G_2_Day_1_HT</t>
  </si>
  <si>
    <t>6_G_2_Day_1_LT</t>
  </si>
  <si>
    <t>6_G_2_Day_2_HT</t>
  </si>
  <si>
    <t>6_G_2_Day_2_LT</t>
  </si>
  <si>
    <t>6_G_2_Day_3_HT</t>
  </si>
  <si>
    <t>6_G_2_Day_3_LT</t>
  </si>
  <si>
    <t>6_H_2_Day_1_HT</t>
  </si>
  <si>
    <t>6_H_2_Day_1_LT</t>
  </si>
  <si>
    <t>6_H_2_Day_2_HT</t>
  </si>
  <si>
    <t>6_H_2_Day_2_LT</t>
  </si>
  <si>
    <t>6_H_2_Day_3_HT</t>
  </si>
  <si>
    <t>6_H_2_Day_3_LT</t>
  </si>
  <si>
    <t>8_D_2_Day_1_HT</t>
  </si>
  <si>
    <t>8_D_2_Day_1_LT</t>
  </si>
  <si>
    <t>8_D_2_Day_2_HT</t>
  </si>
  <si>
    <t>8_D_2_Day_2_LT</t>
  </si>
  <si>
    <t>8_D_2_Day_3_HT</t>
  </si>
  <si>
    <t>8_D_2_Day_3_LT</t>
  </si>
  <si>
    <t>8_E_2_Day_1_HT</t>
  </si>
  <si>
    <t>8_E_2_Day_1_LT</t>
  </si>
  <si>
    <t>8_E_2_Day_2_HT</t>
  </si>
  <si>
    <t>8_E_2_Day_2_LT</t>
  </si>
  <si>
    <t>8_E_2_Day_3_HT</t>
  </si>
  <si>
    <t>8_E_2_Day_3_LT</t>
  </si>
  <si>
    <t>8_F_2_Day_1_HT</t>
  </si>
  <si>
    <t>8_F_2_Day_1_LT</t>
  </si>
  <si>
    <t>8_F_2_Day_2_HT</t>
  </si>
  <si>
    <t>8_F_2_Day_2_LT</t>
  </si>
  <si>
    <t>8_F_2_Day_3_HT</t>
  </si>
  <si>
    <t>8_F_2_Day_3_LT</t>
  </si>
  <si>
    <t>8_G_2_Day_1_HT</t>
  </si>
  <si>
    <t>8_G_2_Day_1_LT</t>
  </si>
  <si>
    <t>8_G_2_Day_2_HT</t>
  </si>
  <si>
    <t>8_G_2_Day_2_LT</t>
  </si>
  <si>
    <t>8_G_2_Day_3_HT</t>
  </si>
  <si>
    <t>8_G_2_Day_3_LT</t>
  </si>
  <si>
    <t>8_H_2_Day_1_HT</t>
  </si>
  <si>
    <t>8_H_2_Day_1_LT</t>
  </si>
  <si>
    <t>8_H_2_Day_2_HT</t>
  </si>
  <si>
    <t>8_H_2_Day_2_LT</t>
  </si>
  <si>
    <t>8_H_2_Day_3_HT</t>
  </si>
  <si>
    <t>8_H_2_Day_3_LT</t>
  </si>
  <si>
    <t>14_J_2_Day_1_HT</t>
  </si>
  <si>
    <t>14_J_2_Day_1_LT</t>
  </si>
  <si>
    <t>14_J_2_Day_2_HT</t>
  </si>
  <si>
    <t>14_J_2_Day_2_LT</t>
  </si>
  <si>
    <t>14_J_2_Day_3_HT</t>
  </si>
  <si>
    <t>14_J_2_Day_3_LT</t>
  </si>
  <si>
    <t>14_K_2_Day_1_HT</t>
  </si>
  <si>
    <t>14_K_2_Day_1_LT</t>
  </si>
  <si>
    <t>14_K_2_Day_2_HT</t>
  </si>
  <si>
    <t>14_K_2_Day_2_LT</t>
  </si>
  <si>
    <t>14_K_2_Day_3_HT</t>
  </si>
  <si>
    <t>14_K_2_Day_3_LT</t>
  </si>
  <si>
    <t>15_J_2_Day_1_HT</t>
  </si>
  <si>
    <t>15_J_2_Day_1_LT</t>
  </si>
  <si>
    <t>15_J_2_Day_2_HT</t>
  </si>
  <si>
    <t>15_J_2_Day_2_LT</t>
  </si>
  <si>
    <t>15_J_2_Day_3_HT</t>
  </si>
  <si>
    <t>15_J_2_Day_3_LT</t>
  </si>
  <si>
    <t>15_K_2_Day_1_HT</t>
  </si>
  <si>
    <t>15_K_2_Day_1_LT</t>
  </si>
  <si>
    <t>15_K_2_Day_2_HT</t>
  </si>
  <si>
    <t>15_K_2_Day_2_LT</t>
  </si>
  <si>
    <t>15_K_2_Day_3_HT</t>
  </si>
  <si>
    <t>15_K_2_Day_3_LT</t>
  </si>
  <si>
    <t>F125</t>
  </si>
  <si>
    <t>F126</t>
  </si>
  <si>
    <t>F127</t>
  </si>
  <si>
    <t>F128</t>
  </si>
  <si>
    <t>F129</t>
  </si>
  <si>
    <t>F130</t>
  </si>
  <si>
    <t>F131</t>
  </si>
  <si>
    <t>F132</t>
  </si>
  <si>
    <t>F133</t>
  </si>
  <si>
    <t>F134</t>
  </si>
  <si>
    <t>8_F_across_2_Day_1_HT</t>
  </si>
  <si>
    <t>8_F_across_2_Day_2_LT</t>
  </si>
  <si>
    <t>8_F_across_2_Day_3_HT</t>
  </si>
  <si>
    <t>8_F_across_2_Day_3_LT</t>
  </si>
  <si>
    <t>6_F_across_2_Day_1_HT</t>
  </si>
  <si>
    <t>6_F_across_2_Day_1_LT</t>
  </si>
  <si>
    <t>6_F_across_2_Day_2_HT</t>
  </si>
  <si>
    <t>6_F_across_2_Day_2_LT</t>
  </si>
  <si>
    <t>6_F_across_2_Day_3_HT</t>
  </si>
  <si>
    <t>6_F_across_2_Day_3_LT</t>
  </si>
  <si>
    <t>F135</t>
  </si>
  <si>
    <t>Dry_weight_of_sediment+filter_paper_1</t>
  </si>
  <si>
    <t>Dry_weight_of_sediment+filter_paper_2</t>
  </si>
  <si>
    <t>Average_weight_of_sediment+filter_paper</t>
  </si>
  <si>
    <t>Weight_of_sediment</t>
  </si>
  <si>
    <t>Main_location</t>
  </si>
  <si>
    <t>F136</t>
  </si>
  <si>
    <t>F137</t>
  </si>
  <si>
    <t>F138</t>
  </si>
  <si>
    <t>F139</t>
  </si>
  <si>
    <t>F140</t>
  </si>
  <si>
    <t>F141</t>
  </si>
  <si>
    <t>F142</t>
  </si>
  <si>
    <t>F143</t>
  </si>
  <si>
    <t>F144</t>
  </si>
  <si>
    <t>F145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</si>
  <si>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</si>
  <si>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</si>
  <si>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</si>
  <si>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</si>
  <si>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</si>
  <si>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</si>
  <si>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</si>
  <si>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</si>
  <si>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</si>
  <si>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</si>
  <si>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</si>
  <si>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</si>
  <si>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</si>
  <si>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</si>
  <si>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</si>
  <si>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</si>
  <si>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</si>
  <si>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</si>
  <si>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</si>
  <si>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</si>
  <si>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F166</t>
  </si>
  <si>
    <t>F167</t>
  </si>
  <si>
    <t>F168</t>
  </si>
  <si>
    <t>F169</t>
  </si>
  <si>
    <t>F170</t>
  </si>
  <si>
    <t>F171</t>
  </si>
  <si>
    <t>F172</t>
  </si>
  <si>
    <t>F173</t>
  </si>
  <si>
    <t>F174</t>
  </si>
  <si>
    <t>F175</t>
  </si>
  <si>
    <t>F176</t>
  </si>
  <si>
    <t>F177</t>
  </si>
  <si>
    <t>F178</t>
  </si>
  <si>
    <t>F179</t>
  </si>
  <si>
    <t>F180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</si>
  <si>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</si>
  <si>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</si>
  <si>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</si>
  <si>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</si>
  <si>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</si>
  <si>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</si>
  <si>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</si>
  <si>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</si>
  <si>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</si>
  <si>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</si>
  <si>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</si>
  <si>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</si>
  <si>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</si>
  <si>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</si>
  <si>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</si>
  <si>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</si>
  <si>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</si>
  <si>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</si>
  <si>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</si>
  <si>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</si>
  <si>
    <t>F201</t>
  </si>
  <si>
    <t>F202</t>
  </si>
  <si>
    <t>F203</t>
  </si>
  <si>
    <t>F204</t>
  </si>
  <si>
    <t>F205</t>
  </si>
  <si>
    <t>F206</t>
  </si>
  <si>
    <t>F207</t>
  </si>
  <si>
    <t>F208</t>
  </si>
  <si>
    <t>F209</t>
  </si>
  <si>
    <t>F210</t>
  </si>
  <si>
    <t>F211</t>
  </si>
  <si>
    <t>F212</t>
  </si>
  <si>
    <t>F213</t>
  </si>
  <si>
    <t>F214</t>
  </si>
  <si>
    <t>F215</t>
  </si>
  <si>
    <t>F216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</si>
  <si>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</si>
  <si>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</si>
  <si>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</si>
  <si>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</si>
  <si>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</si>
  <si>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</si>
  <si>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</si>
  <si>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</si>
  <si>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</si>
  <si>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</si>
  <si>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</si>
  <si>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</si>
  <si>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</si>
  <si>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</si>
  <si>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</si>
  <si>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</si>
  <si>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</si>
  <si>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</si>
  <si>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F235</t>
  </si>
  <si>
    <t>F236</t>
  </si>
  <si>
    <t>F237</t>
  </si>
  <si>
    <t>F238</t>
  </si>
  <si>
    <t>F239</t>
  </si>
  <si>
    <t>F240</t>
  </si>
  <si>
    <t>F241</t>
  </si>
  <si>
    <t>F242</t>
  </si>
  <si>
    <t>F243</t>
  </si>
  <si>
    <t>F244</t>
  </si>
  <si>
    <t>F245</t>
  </si>
  <si>
    <t>F246</t>
  </si>
  <si>
    <t>F247</t>
  </si>
  <si>
    <t>F248</t>
  </si>
  <si>
    <t>F249</t>
  </si>
  <si>
    <t>F250</t>
  </si>
  <si>
    <t>F251</t>
  </si>
  <si>
    <t>F252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</si>
  <si>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</si>
  <si>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</si>
  <si>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</si>
  <si>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</si>
  <si>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</si>
  <si>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</si>
  <si>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</si>
  <si>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</si>
  <si>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</si>
  <si>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</si>
  <si>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</si>
  <si>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</si>
  <si>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</si>
  <si>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</si>
  <si>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</si>
  <si>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</si>
  <si>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</si>
  <si>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</si>
  <si>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</si>
  <si>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</si>
  <si>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>F273</t>
  </si>
  <si>
    <t>F274</t>
  </si>
  <si>
    <t>F275</t>
  </si>
  <si>
    <t>F276</t>
  </si>
  <si>
    <t>F277</t>
  </si>
  <si>
    <t>F278</t>
  </si>
  <si>
    <t>F279</t>
  </si>
  <si>
    <t>F280</t>
  </si>
  <si>
    <t>F281</t>
  </si>
  <si>
    <t>F282</t>
  </si>
  <si>
    <t>F283</t>
  </si>
  <si>
    <t>F284</t>
  </si>
  <si>
    <t>F285</t>
  </si>
  <si>
    <t>F286</t>
  </si>
  <si>
    <t>F287</t>
  </si>
  <si>
    <t>F288</t>
  </si>
  <si>
    <t>F289</t>
  </si>
  <si>
    <t>F290</t>
  </si>
  <si>
    <t>F291</t>
  </si>
  <si>
    <t>F292</t>
  </si>
  <si>
    <t>F293</t>
  </si>
  <si>
    <t>F294</t>
  </si>
  <si>
    <t>F295</t>
  </si>
  <si>
    <t>F296</t>
  </si>
  <si>
    <t>F297</t>
  </si>
  <si>
    <t>F298</t>
  </si>
  <si>
    <t>F299</t>
  </si>
  <si>
    <t>F300</t>
  </si>
  <si>
    <t>F301</t>
  </si>
  <si>
    <t>F302</t>
  </si>
  <si>
    <t>F303</t>
  </si>
  <si>
    <t>F304</t>
  </si>
  <si>
    <t>F305</t>
  </si>
  <si>
    <t>F306</t>
  </si>
  <si>
    <t>F307</t>
  </si>
  <si>
    <t>F308</t>
  </si>
  <si>
    <t>F309</t>
  </si>
  <si>
    <t>F310</t>
  </si>
  <si>
    <t>F311</t>
  </si>
  <si>
    <t>F312</t>
  </si>
  <si>
    <t>Depth_to_sediment_layer_LT</t>
  </si>
  <si>
    <t>Depth_to_sediment_layer_HT</t>
  </si>
  <si>
    <t>Depth_to_bottom_of_sediment_layer_LT</t>
  </si>
  <si>
    <t>Depth_to_bottom_of_sediment_layer_HT</t>
  </si>
  <si>
    <t>Tidal_difference_at_location</t>
  </si>
  <si>
    <t>Depth_of_sediment_LT</t>
  </si>
  <si>
    <t>Depth_of_sediment_HT</t>
  </si>
  <si>
    <t>0_A</t>
  </si>
  <si>
    <t>0_B_middle</t>
  </si>
  <si>
    <t>0_B_end</t>
  </si>
  <si>
    <t>6_C</t>
  </si>
  <si>
    <t>6_D</t>
  </si>
  <si>
    <t>6_E</t>
  </si>
  <si>
    <t>6_F</t>
  </si>
  <si>
    <t>6_G</t>
  </si>
  <si>
    <t>6_H</t>
  </si>
  <si>
    <t>8_C</t>
  </si>
  <si>
    <t>8_D</t>
  </si>
  <si>
    <t>8_E</t>
  </si>
  <si>
    <t>8_F</t>
  </si>
  <si>
    <t>8_G</t>
  </si>
  <si>
    <t>8_H</t>
  </si>
  <si>
    <t>14_I</t>
  </si>
  <si>
    <t>14_J</t>
  </si>
  <si>
    <t>14_K</t>
  </si>
  <si>
    <t>15_I</t>
  </si>
  <si>
    <t>15_J</t>
  </si>
  <si>
    <t>15_K</t>
  </si>
  <si>
    <t>Transit_rate(m/s)</t>
  </si>
  <si>
    <t>8_F_across_2_Day_1_LT</t>
  </si>
  <si>
    <t>8_F_across_2_Day_2_HT</t>
  </si>
  <si>
    <t>Average_weight_of_sediment</t>
  </si>
  <si>
    <t>Case 2: HT = TRUE</t>
  </si>
  <si>
    <t>Case 3: HT = FALSE</t>
  </si>
  <si>
    <t>Case 4: Sub_location = 1</t>
  </si>
  <si>
    <t>Case 5: Sub_location = 2</t>
  </si>
  <si>
    <t>Case 6: HC = TRUE</t>
  </si>
  <si>
    <t>Case 7: HC = FALSE</t>
  </si>
  <si>
    <t>Case 8: Plot = 0</t>
  </si>
  <si>
    <t>Case 9: Plot = 0 AND HT = TRUE</t>
  </si>
  <si>
    <t>Case 10: Plot = 0 AND HT = FALSE</t>
  </si>
  <si>
    <t>Case 11: Plot = 0 AND Sub_location = 1</t>
  </si>
  <si>
    <t>Case 12: Plot = 0 AND Sub_location = 2</t>
  </si>
  <si>
    <t>Case 13: Plot = 6</t>
  </si>
  <si>
    <t>Case 14: Plot = 6 AND HT = TRUE</t>
  </si>
  <si>
    <t>Case 15: Plot = 6 AND HT = FALSE</t>
  </si>
  <si>
    <t>Case 16: Plot = 6 AND Sub_location = 1</t>
  </si>
  <si>
    <t>Case 17: Plot = 6 AND Sub_location = 2</t>
  </si>
  <si>
    <t>Case 18: Plot = 8</t>
  </si>
  <si>
    <t>Case 19: Plot = 8 AND HT = TRUE</t>
  </si>
  <si>
    <t>Case 20: Plot = 8 AND HT = FALSE</t>
  </si>
  <si>
    <t>Case 21: Plot = 8 AND Sub_location = 1</t>
  </si>
  <si>
    <t>Case 22: Plot = 8 AND Sub_location = 2</t>
  </si>
  <si>
    <t>Case 23: Plot = 14</t>
  </si>
  <si>
    <t>Case 24: Plot = 14 AND HT = TRUE</t>
  </si>
  <si>
    <t>Case 25: Plot = 14 AND HT = FALSE</t>
  </si>
  <si>
    <t>Case 26: Plot = 14 AND Sub_location = 1</t>
  </si>
  <si>
    <t>Case 27: Plot = 14 AND Sub_location = 2</t>
  </si>
  <si>
    <t>Case 28: Plot = 15</t>
  </si>
  <si>
    <t>Case 29: Plot = 15 AND HT = TRUE</t>
  </si>
  <si>
    <t>Case 30: Plot = 15 AND HT = FALSE</t>
  </si>
  <si>
    <t>Case 31: Plot = 15 AND Sub_location = 1</t>
  </si>
  <si>
    <t>Case 32: Plot = 15 AND Sub_location = 2</t>
  </si>
  <si>
    <t>Case 33: Main_location = A</t>
  </si>
  <si>
    <t>Case 34: Main_location = B_middle</t>
  </si>
  <si>
    <t>Case 35: Main_location = B_end</t>
  </si>
  <si>
    <t>Case 36: Main_location = C</t>
  </si>
  <si>
    <t>Case 37: Main_location = D</t>
  </si>
  <si>
    <t>Case 38: Main_location = E</t>
  </si>
  <si>
    <t>Case 39: Main_location = F</t>
  </si>
  <si>
    <t>Case 40: Main_location = F_across</t>
  </si>
  <si>
    <t>Case 41: Main_location = G</t>
  </si>
  <si>
    <t>Case 42: Main_location = H</t>
  </si>
  <si>
    <t>Case 43: Main_location = I</t>
  </si>
  <si>
    <t>Case 44: Main_location = J</t>
  </si>
  <si>
    <t>Case 45: Main_location = K</t>
  </si>
  <si>
    <t>Case 46: Sampling_day = Day_1</t>
  </si>
  <si>
    <t>Case 51: Sampling_day = Day_2</t>
  </si>
  <si>
    <t>Case 56: Sampling_day = Day_3</t>
  </si>
  <si>
    <t>N_TDS</t>
  </si>
  <si>
    <t>Mean_TDS</t>
  </si>
  <si>
    <t>StdDev_TDS</t>
  </si>
  <si>
    <t>Case 61: Plot = 6 or 8</t>
  </si>
  <si>
    <t>Case 62: Plot = 6 or 8 AND HT = TRUE</t>
  </si>
  <si>
    <t>Case 63: Plot = 6 or 8 AND HT = FALSE</t>
  </si>
  <si>
    <t>Case 64: Plot = 6 or 8 AND Sub_location = 1</t>
  </si>
  <si>
    <t>Case 65: Plot = 6 or 8 AND Sub_location = 2</t>
  </si>
  <si>
    <t>Case 66: Plot = 14 or 15</t>
  </si>
  <si>
    <t>Case 67: Plot = 14 or 15 AND HT = TRUE</t>
  </si>
  <si>
    <t>Case 68: Plot = 14 or 15 AND HT = FALSE</t>
  </si>
  <si>
    <t>Case 69: Plot = 14 or 15 AND Sub_location = 1</t>
  </si>
  <si>
    <t>Case 70: Plot = 14 or 15 AND Sub_location = 2</t>
  </si>
  <si>
    <t>Median_TDS</t>
  </si>
  <si>
    <t>Min_TDS</t>
  </si>
  <si>
    <t>Max_TDS</t>
  </si>
  <si>
    <t>Range_TDS</t>
  </si>
  <si>
    <t>95_CI_Lower_TDS</t>
  </si>
  <si>
    <t>95_CI_Upper_TDS</t>
  </si>
  <si>
    <t>0_B_middle_Day_1_B_HT</t>
  </si>
  <si>
    <t>0_B_middle_Day_1_B_LT</t>
  </si>
  <si>
    <t>0_B_middle_Day_1_M_HT</t>
  </si>
  <si>
    <t>0_B_middle_Day_1_M_LT</t>
  </si>
  <si>
    <t>0_B_middle_Day_1_T_HT</t>
  </si>
  <si>
    <t>0_B_middle_Day_1_T_LT</t>
  </si>
  <si>
    <t>0_B_middle_Day_2_B_HT</t>
  </si>
  <si>
    <t>0_B_middle_Day_2_B_LT</t>
  </si>
  <si>
    <t>0_B_middle_Day_2_M_HT</t>
  </si>
  <si>
    <t>0_B_middle_Day_2_M_LT</t>
  </si>
  <si>
    <t>0_B_middle_Day_2_T_HT</t>
  </si>
  <si>
    <t>0_B_middle_Day_2_T_LT</t>
  </si>
  <si>
    <t>0_B_middle_Day_3_B_HT</t>
  </si>
  <si>
    <t>0_B_middle_Day_3_B_LT</t>
  </si>
  <si>
    <t>0_B_middle_Day_3_M_HT</t>
  </si>
  <si>
    <t>0_B_middle_Day_3_M_LT</t>
  </si>
  <si>
    <t>0_B_middle_Day_3_T_HT</t>
  </si>
  <si>
    <t>0_B_middle_Day_3_T_LT</t>
  </si>
  <si>
    <t>0_B_end_Day_1_B_HT</t>
  </si>
  <si>
    <t>0_B_end_Day_1_B_LT</t>
  </si>
  <si>
    <t>0_B_end_Day_1_M_HT</t>
  </si>
  <si>
    <t>0_B_end_Day_1_M_LT</t>
  </si>
  <si>
    <t>0_B_end_Day_1_T_HT</t>
  </si>
  <si>
    <t>0_B_end_Day_1_T_LT</t>
  </si>
  <si>
    <t>0_B_end_Day_2_B_HT</t>
  </si>
  <si>
    <t>0_B_end_Day_2_B_LT</t>
  </si>
  <si>
    <t>0_B_end_Day_2_M_HT</t>
  </si>
  <si>
    <t>0_B_end_Day_2_M_LT</t>
  </si>
  <si>
    <t>0_B_end_Day_2_T_HT</t>
  </si>
  <si>
    <t>0_B_end_Day_2_T_LT</t>
  </si>
  <si>
    <t>0_B_end_Day_3_B_HT</t>
  </si>
  <si>
    <t>0_B_end_Day_3_B_LT</t>
  </si>
  <si>
    <t>0_B_end_Day_3_M_HT</t>
  </si>
  <si>
    <t>0_B_end_Day_3_M_LT</t>
  </si>
  <si>
    <t>0_B_end_Day_3_T_HT</t>
  </si>
  <si>
    <t>0_B_end_Day_3_T_LT</t>
  </si>
  <si>
    <t>Q1_TDS</t>
  </si>
  <si>
    <t>Q3_TDS</t>
  </si>
  <si>
    <t>IQR_TDS</t>
  </si>
  <si>
    <t>Weight_of_sediment_per_0.5L</t>
  </si>
  <si>
    <t>Mean</t>
  </si>
  <si>
    <t>Median</t>
  </si>
  <si>
    <t>Min</t>
  </si>
  <si>
    <t>Max</t>
  </si>
  <si>
    <t>Range</t>
  </si>
  <si>
    <t>StdDev (Sample)</t>
  </si>
  <si>
    <t>95% CI Lower</t>
  </si>
  <si>
    <t>95% CI Upper</t>
  </si>
  <si>
    <t>Suspended_Sediment_Concentration_(g/L)</t>
  </si>
  <si>
    <t>Case Description</t>
  </si>
  <si>
    <t>N (Count)</t>
  </si>
  <si>
    <t>Q1 (First Quartile)</t>
  </si>
  <si>
    <t>Q3 (Third Quartile)</t>
  </si>
  <si>
    <t>IQR (Interquartile Range)</t>
  </si>
  <si>
    <t>All values</t>
  </si>
  <si>
    <t>Location: B_end</t>
  </si>
  <si>
    <t>Location: B_middle</t>
  </si>
  <si>
    <t>Water Column Position: T</t>
  </si>
  <si>
    <t>Water Column Position: M</t>
  </si>
  <si>
    <t>Water Column Position: B</t>
  </si>
  <si>
    <t>HT/LT: TRUE (HT)</t>
  </si>
  <si>
    <t>HT/LT: FALSE (LT)</t>
  </si>
  <si>
    <t>Sampling Day: Day_1</t>
  </si>
  <si>
    <t>Sampling Day: Day_2</t>
  </si>
  <si>
    <t>Sampling Day: Day_3</t>
  </si>
  <si>
    <t>Location: B_middle AND Water Position: T</t>
  </si>
  <si>
    <t>Location: B_middle AND Water Position: M</t>
  </si>
  <si>
    <t>Location: B_middle AND Water Position: B</t>
  </si>
  <si>
    <t>Location: B_end AND Water Position: T</t>
  </si>
  <si>
    <t>Location: B_end AND Water Position: M</t>
  </si>
  <si>
    <t>Location: B_end AND Water Position: B</t>
  </si>
  <si>
    <t>HT/LT: TRUE (HT) AND Water Position: T</t>
  </si>
  <si>
    <t>HT/LT: TRUE (HT) AND Water Position: M</t>
  </si>
  <si>
    <t>HT/LT: TRUE (HT) AND Water Position: B</t>
  </si>
  <si>
    <t>HT/LT: FALSE (LT) AND Water Position: T</t>
  </si>
  <si>
    <t>HT/LT: FALSE (LT) AND Water Position: M</t>
  </si>
  <si>
    <t>HT/LT: FALSE (LT) AND Water Position: B</t>
  </si>
  <si>
    <t>Sampling Day: Day_1 AND Water Position: T</t>
  </si>
  <si>
    <t>Sampling Day: Day_1 AND Water Position: M</t>
  </si>
  <si>
    <t>Sampling Day: Day_1 AND Water Position: B</t>
  </si>
  <si>
    <t>Sampling Day: Day_2 OR Day_3 AND Water Position: T</t>
  </si>
  <si>
    <t>Sampling Day: Day_2 OR Day_3 AND Water Position: M</t>
  </si>
  <si>
    <t>Sampling Day: Day_2 OR Day_3 AND Water Position: B</t>
  </si>
  <si>
    <t>Samples collected across all plots during high tide(HT)</t>
  </si>
  <si>
    <t>Samples collected across all plots during low tide(LT)</t>
  </si>
  <si>
    <t>Samples collected across all plots from the vertical 30 cm away from the canal bank (sub-location 1)</t>
  </si>
  <si>
    <t>Samples collected across all plots from locations that are highly connected(HC)</t>
  </si>
  <si>
    <t>Samples collected across all plots, from locations that are terminally connected(TC/LC)</t>
  </si>
  <si>
    <t>All samples collected from Plot 6</t>
  </si>
  <si>
    <t>All samples collected from Plot 8</t>
  </si>
  <si>
    <t>All samples collected from Plot 14</t>
  </si>
  <si>
    <t>All samples collected from Plot 15</t>
  </si>
  <si>
    <t>Samples collected across all plots, from the main location A</t>
  </si>
  <si>
    <t>Samples collected across all plots, from the main location B_middle</t>
  </si>
  <si>
    <t>Samples collected across all plots, from the main location B_end</t>
  </si>
  <si>
    <t>Samples collected across all plots, from the main location C</t>
  </si>
  <si>
    <t>Samples collected across all plots, from the main location D</t>
  </si>
  <si>
    <t>Samples collected across all plots, from the main location E</t>
  </si>
  <si>
    <t>Samples collected across all plots, from the main location F</t>
  </si>
  <si>
    <t>Samples collected across all plots, from the main location F_across</t>
  </si>
  <si>
    <t>Samples collected across all plots, from the main location G</t>
  </si>
  <si>
    <t>Samples collected across all plots, from the main location H</t>
  </si>
  <si>
    <t>Samples collected across all plots, from the main location I</t>
  </si>
  <si>
    <t>Samples collected across all plots, from the main location J</t>
  </si>
  <si>
    <t>Samples collected across all plots, from the main location K</t>
  </si>
  <si>
    <t>Samples collected across all plots, during day_1</t>
  </si>
  <si>
    <t>Samples collected across all plots, during day_2</t>
  </si>
  <si>
    <t>Samples collected across all plots, during day_3</t>
  </si>
  <si>
    <t>All samples collected from CPC canals</t>
  </si>
  <si>
    <t>All samples collected from LC canals</t>
  </si>
  <si>
    <t>All Samples collected from Plot 0, the PC</t>
  </si>
  <si>
    <t>All samples collected in Plot 0 (the PC) during high tide(HT)</t>
  </si>
  <si>
    <t>All samples collected in Plot 0 (the PC) during low tide(LT)</t>
  </si>
  <si>
    <t>All samples collected in Plot 0 (the PC) from the vertical 30 cm away from the canal bank (sub-location 1)</t>
  </si>
  <si>
    <t>All samples collected in CPCs during high tide(HT)</t>
  </si>
  <si>
    <t>All samples collected in CPCs during low tide(LT)</t>
  </si>
  <si>
    <t>All samples collected in CPCs from the vertical 30 cm away from the canal bank (sub-location 1)</t>
  </si>
  <si>
    <t>All samples collected in LCs during high tide(HT)</t>
  </si>
  <si>
    <t>All samples collected in LCs during low tide(LT)</t>
  </si>
  <si>
    <t>All samples collected in LCs from the vertical 30 cm away from the canal bank (sub-location 1)</t>
  </si>
  <si>
    <t>All samples collected in Plot 6 during high tide(HT)</t>
  </si>
  <si>
    <t>All samples collected in Plot 6 during low tide(LT)</t>
  </si>
  <si>
    <t>All samples collected in Plot 6 from the vertical 30 cm away from the canal bank (sub-location 1)</t>
  </si>
  <si>
    <t>All samples collected in Plot 8 during high tide(HT)</t>
  </si>
  <si>
    <t>All samples collected in Plot 8 during low tide(LT)</t>
  </si>
  <si>
    <t>All samples collected in Plot 8 from the vertical 30 cm away from the canal bank (sub-location 1)</t>
  </si>
  <si>
    <t>All samples collected in Plot 14 during high tide(HT)</t>
  </si>
  <si>
    <t>All samples collected in Plot 14 during low tide(LT)</t>
  </si>
  <si>
    <t>All samples collected in Plot 14 from the vertical 30 cm away from the canal bank (sub-location 1)</t>
  </si>
  <si>
    <t>All samples collected in Plot 15 during high tide(HT)</t>
  </si>
  <si>
    <t>All samples collected in Plot 15 during low tide(LT)</t>
  </si>
  <si>
    <t>All samples collected in Plot 15 from the vertical 30 cm away from the canal bank (sub-location 1)</t>
  </si>
  <si>
    <t>No. of samples</t>
  </si>
  <si>
    <t>Mean concentration (g/L)</t>
  </si>
  <si>
    <t>Median concentration (g/L)</t>
  </si>
  <si>
    <t>Minimum concentration (g/L)</t>
  </si>
  <si>
    <t>Maximum concentration (g/L)</t>
  </si>
  <si>
    <t>Range (g/L)</t>
  </si>
  <si>
    <t>Stddev (g/L)</t>
  </si>
  <si>
    <t>Lower 95% CI (g/L)</t>
  </si>
  <si>
    <t>Upper 95% CI (g/L)</t>
  </si>
  <si>
    <r>
      <t>1</t>
    </r>
    <r>
      <rPr>
        <vertAlign val="superscript"/>
        <sz val="9"/>
        <color rgb="FF000000"/>
        <rFont val="Aptos Narrow"/>
        <family val="2"/>
      </rPr>
      <t>st</t>
    </r>
    <r>
      <rPr>
        <sz val="9"/>
        <color rgb="FF000000"/>
        <rFont val="Aptos Narrow"/>
        <family val="2"/>
      </rPr>
      <t xml:space="preserve"> Quartile (g/L)</t>
    </r>
  </si>
  <si>
    <r>
      <t>2</t>
    </r>
    <r>
      <rPr>
        <vertAlign val="superscript"/>
        <sz val="9"/>
        <color rgb="FF000000"/>
        <rFont val="Aptos Narrow"/>
        <family val="2"/>
      </rPr>
      <t>nd</t>
    </r>
    <r>
      <rPr>
        <sz val="9"/>
        <color rgb="FF000000"/>
        <rFont val="Aptos Narrow"/>
        <family val="2"/>
      </rPr>
      <t xml:space="preserve"> Quartile (g/L)</t>
    </r>
  </si>
  <si>
    <t>Interquartile range (g/L)</t>
  </si>
  <si>
    <t>Case description</t>
  </si>
  <si>
    <t>Case code</t>
  </si>
  <si>
    <t>Samples collected across all plots from the vertical at the centre of the canal's cross section (sub-location 2)</t>
  </si>
  <si>
    <t>All samples collected in Plot 0 (the PC)  from the vertical at the centre of the canal's cross section (sub-location 2)</t>
  </si>
  <si>
    <t>All samples collected in Plot 6 from the vertical at the centre of the canal's cross section (sub-location 2)</t>
  </si>
  <si>
    <t>All samples collected in Plot 8 from the vertical at the centre of the canal's cross section (sub-location 2)</t>
  </si>
  <si>
    <t>All samples collected in Plot 14 from the vertical at the centre of the canal's cross section (sub-location 2)</t>
  </si>
  <si>
    <t>All samples collected in Plot 15 from the vertical at the centre of the canal's cross section (sub-location 2)</t>
  </si>
  <si>
    <t>All samples collected in CPCs from the vertical at the centre of the canal's cross section (sub-location 2)</t>
  </si>
  <si>
    <t>All samples collected in LCs from the vertical at the centre of the canal's cross section (sub-location 2)</t>
  </si>
  <si>
    <t>1st Quartile (g/L)</t>
  </si>
  <si>
    <t>2nd Quartile (g/L)</t>
  </si>
  <si>
    <t>6_F_across</t>
  </si>
  <si>
    <t>8_F_across</t>
  </si>
  <si>
    <t>7.711446, 79.801259</t>
  </si>
  <si>
    <t>Latitude</t>
  </si>
  <si>
    <t>Longitude</t>
  </si>
  <si>
    <t>7.715438, 79.804160</t>
  </si>
  <si>
    <t>7.719157, 79.805777</t>
  </si>
  <si>
    <t>7.714706, 79.804095</t>
  </si>
  <si>
    <t>7.714644, 79.804235</t>
  </si>
  <si>
    <t>7.714175, 79.804124</t>
  </si>
  <si>
    <t>7.714486, 79.804678</t>
  </si>
  <si>
    <t>7.714526, 79.804670</t>
  </si>
  <si>
    <t>7.713998, 79.804730</t>
  </si>
  <si>
    <t>7.714281, 79.805408</t>
  </si>
  <si>
    <t>7.716570, 79.804779</t>
  </si>
  <si>
    <t>7.716687, 79.805225</t>
  </si>
  <si>
    <t>7.716462, 79.805904</t>
  </si>
  <si>
    <t>7.717166, 79.806172</t>
  </si>
  <si>
    <t>7.717204, 79.806129</t>
  </si>
  <si>
    <t>7.716873, 79.806060</t>
  </si>
  <si>
    <t>7.717480, 79.806836</t>
  </si>
  <si>
    <t>7.719555, 79.806492</t>
  </si>
  <si>
    <t>7.720088, 79.806689</t>
  </si>
  <si>
    <t>7.720724, 79.806870</t>
  </si>
  <si>
    <t>7.719360, 79.806904</t>
  </si>
  <si>
    <t>7.719917, 79.807086</t>
  </si>
  <si>
    <t>7.720539, 79.807298</t>
  </si>
  <si>
    <t>0_A_1_Day_1_HT</t>
  </si>
  <si>
    <t>0_A_1_Day_1_LT</t>
  </si>
  <si>
    <t>0_A_1_Day_2_HT</t>
  </si>
  <si>
    <t>0_A_1_Day_2_LT</t>
  </si>
  <si>
    <t>0_A_1_Day_3_HT</t>
  </si>
  <si>
    <t>0_A_1_Day_3_LT</t>
  </si>
  <si>
    <t>0_A_2_Day_1_HT</t>
  </si>
  <si>
    <t>0_A_2_Day_1_LT</t>
  </si>
  <si>
    <t>0_A_2_Day_2_HT</t>
  </si>
  <si>
    <t>0_A_2_Day_2_LT</t>
  </si>
  <si>
    <t>0_A_2_Day_3_HT</t>
  </si>
  <si>
    <t>0_A_2_Day_3_LT</t>
  </si>
  <si>
    <t>0_B_end_1_Day_1_HT</t>
  </si>
  <si>
    <t>0_B_end_1_Day_1_LT</t>
  </si>
  <si>
    <t>0_B_end_1_Day_2_HT</t>
  </si>
  <si>
    <t>0_B_end_1_Day_2_LT</t>
  </si>
  <si>
    <t>0_B_end_1_Day_3_HT</t>
  </si>
  <si>
    <t>0_B_end_1_Day_3_LT</t>
  </si>
  <si>
    <t>0_B_end_2_Day_1_HT</t>
  </si>
  <si>
    <t>0_B_end_2_Day_1_LT</t>
  </si>
  <si>
    <t>0_B_end_2_Day_2_HT</t>
  </si>
  <si>
    <t>0_B_end_2_Day_2_LT</t>
  </si>
  <si>
    <t>0_B_end_2_Day_3_HT</t>
  </si>
  <si>
    <t>0_B_end_2_Day_3_LT</t>
  </si>
  <si>
    <t>0_B_middle_1_Day_1_HT</t>
  </si>
  <si>
    <t>0_B_middle_1_Day_1_LT</t>
  </si>
  <si>
    <t>0_B_middle_1_Day_2_HT</t>
  </si>
  <si>
    <t>0_B_middle_1_Day_2_LT</t>
  </si>
  <si>
    <t>0_B_middle_1_Day_3_HT</t>
  </si>
  <si>
    <t>0_B_middle_1_Day_3_LT</t>
  </si>
  <si>
    <t>0_B_middle_2_Day_1_HT</t>
  </si>
  <si>
    <t>0_B_middle_2_Day_1_LT</t>
  </si>
  <si>
    <t>0_B_middle_2_Day_2_HT</t>
  </si>
  <si>
    <t>0_B_middle_2_Day_2_LT</t>
  </si>
  <si>
    <t>0_B_middle_2_Day_3_HT</t>
  </si>
  <si>
    <t>0_B_middle_2_Day_3_LT</t>
  </si>
  <si>
    <t>14_I_1_Day_1_HT</t>
  </si>
  <si>
    <t>14_I_1_Day_1_LT</t>
  </si>
  <si>
    <t>14_I_1_Day_2_HT</t>
  </si>
  <si>
    <t>14_I_1_Day_2_LT</t>
  </si>
  <si>
    <t>14_I_1_Day_3_HT</t>
  </si>
  <si>
    <t>14_I_1_Day_3_LT</t>
  </si>
  <si>
    <t>14_I_2_Day_1_HT</t>
  </si>
  <si>
    <t>14_I_2_Day_1_LT</t>
  </si>
  <si>
    <t>14_I_2_Day_2_HT</t>
  </si>
  <si>
    <t>14_I_2_Day_2_LT</t>
  </si>
  <si>
    <t>14_I_2_Day_3_HT</t>
  </si>
  <si>
    <t>14_I_2_Day_3_LT</t>
  </si>
  <si>
    <t>14_J_1_Day_1_HT</t>
  </si>
  <si>
    <t>14_J_1_Day_1_LT</t>
  </si>
  <si>
    <t>14_J_1_Day_2_HT</t>
  </si>
  <si>
    <t>14_J_1_Day_2_LT</t>
  </si>
  <si>
    <t>14_J_1_Day_3_HT</t>
  </si>
  <si>
    <t>14_J_1_Day_3_LT</t>
  </si>
  <si>
    <t>14_K_1_Day_1_HT</t>
  </si>
  <si>
    <t>14_K_1_Day_1_LT</t>
  </si>
  <si>
    <t>14_K_1_Day_2_HT</t>
  </si>
  <si>
    <t>14_K_1_Day_2_LT</t>
  </si>
  <si>
    <t>14_K_1_Day_3_HT</t>
  </si>
  <si>
    <t>14_K_1_Day_3_LT</t>
  </si>
  <si>
    <t>15_I_1_Day_1_HT</t>
  </si>
  <si>
    <t>15_I_1_Day_1_LT</t>
  </si>
  <si>
    <t>15_I_1_Day_2_HT</t>
  </si>
  <si>
    <t>15_I_1_Day_2_LT</t>
  </si>
  <si>
    <t>15_I_1_Day_3_HT</t>
  </si>
  <si>
    <t>15_I_1_Day_3_LT</t>
  </si>
  <si>
    <t>15_I_2_Day_1_HT</t>
  </si>
  <si>
    <t>15_I_2_Day_1_LT</t>
  </si>
  <si>
    <t>15_I_2_Day_2_HT</t>
  </si>
  <si>
    <t>15_I_2_Day_2_LT</t>
  </si>
  <si>
    <t>15_I_2_Day_3_HT</t>
  </si>
  <si>
    <t>15_I_2_Day_3_LT</t>
  </si>
  <si>
    <t>15_J_1_Day_1_HT</t>
  </si>
  <si>
    <t>15_J_1_Day_1_LT</t>
  </si>
  <si>
    <t>15_J_1_Day_2_HT</t>
  </si>
  <si>
    <t>15_J_1_Day_2_LT</t>
  </si>
  <si>
    <t>15_J_1_Day_3_HT</t>
  </si>
  <si>
    <t>15_J_1_Day_3_LT</t>
  </si>
  <si>
    <t>15_K_1_Day_1_HT</t>
  </si>
  <si>
    <t>15_K_1_Day_1_LT</t>
  </si>
  <si>
    <t>15_K_1_Day_2_HT</t>
  </si>
  <si>
    <t>15_K_1_Day_2_LT</t>
  </si>
  <si>
    <t>15_K_1_Day_3_HT</t>
  </si>
  <si>
    <t>15_K_1_Day_3_LT</t>
  </si>
  <si>
    <t>6_C_1_Day_1_HT</t>
  </si>
  <si>
    <t>6_C_1_Day_1_LT</t>
  </si>
  <si>
    <t>6_C_1_Day_2_HT</t>
  </si>
  <si>
    <t>6_C_1_Day_2_LT</t>
  </si>
  <si>
    <t>6_C_1_Day_3_HT</t>
  </si>
  <si>
    <t>6_C_1_Day_3_LT</t>
  </si>
  <si>
    <t>6_C_2_Day_1_HT</t>
  </si>
  <si>
    <t>6_C_2_Day_1_LT</t>
  </si>
  <si>
    <t>6_C_2_Day_2_HT</t>
  </si>
  <si>
    <t>6_C_2_Day_2_LT</t>
  </si>
  <si>
    <t>6_C_2_Day_3_HT</t>
  </si>
  <si>
    <t>6_C_2_Day_3_LT</t>
  </si>
  <si>
    <t>6_D_1_Day_1_HT</t>
  </si>
  <si>
    <t>6_D_1_Day_1_LT</t>
  </si>
  <si>
    <t>6_D_1_Day_2_HT</t>
  </si>
  <si>
    <t>6_D_1_Day_2_LT</t>
  </si>
  <si>
    <t>6_D_1_Day_3_HT</t>
  </si>
  <si>
    <t>6_D_1_Day_3_LT</t>
  </si>
  <si>
    <t>6_E_1_Day_1_HT</t>
  </si>
  <si>
    <t>6_E_1_Day_1_LT</t>
  </si>
  <si>
    <t>6_E_1_Day_2_HT</t>
  </si>
  <si>
    <t>6_E_1_Day_2_LT</t>
  </si>
  <si>
    <t>6_E_1_Day_3_HT</t>
  </si>
  <si>
    <t>6_E_1_Day_3_LT</t>
  </si>
  <si>
    <t>6_F_1_Day_1_HT</t>
  </si>
  <si>
    <t>6_F_1_Day_1_LT</t>
  </si>
  <si>
    <t>6_F_1_Day_2_HT</t>
  </si>
  <si>
    <t>6_F_1_Day_2_LT</t>
  </si>
  <si>
    <t>6_F_1_Day_3_HT</t>
  </si>
  <si>
    <t>6_F_1_Day_3_LT</t>
  </si>
  <si>
    <t>6_G_1_Day_1_HT</t>
  </si>
  <si>
    <t>6_G_1_Day_1_LT</t>
  </si>
  <si>
    <t>6_G_1_Day_2_HT</t>
  </si>
  <si>
    <t>6_G_1_Day_2_LT</t>
  </si>
  <si>
    <t>6_G_1_Day_3_HT</t>
  </si>
  <si>
    <t>6_G_1_Day_3_LT</t>
  </si>
  <si>
    <t>6_H_1_Day_1_HT</t>
  </si>
  <si>
    <t>6_H_1_Day_1_LT</t>
  </si>
  <si>
    <t>6_H_1_Day_2_HT</t>
  </si>
  <si>
    <t>6_H_1_Day_2_LT</t>
  </si>
  <si>
    <t>6_H_1_Day_3_HT</t>
  </si>
  <si>
    <t>6_H_1_Day_3_LT</t>
  </si>
  <si>
    <t>8_C_1_Day_1_HT</t>
  </si>
  <si>
    <t>8_C_1_Day_1_LT</t>
  </si>
  <si>
    <t>8_C_1_Day_2_HT</t>
  </si>
  <si>
    <t>8_C_1_Day_2_LT</t>
  </si>
  <si>
    <t>8_C_1_Day_3_HT</t>
  </si>
  <si>
    <t>8_C_1_Day_3_LT</t>
  </si>
  <si>
    <t>8_C_2_Day_1_HT</t>
  </si>
  <si>
    <t>8_C_2_Day_1_LT</t>
  </si>
  <si>
    <t>8_C_2_Day_2_HT</t>
  </si>
  <si>
    <t>8_C_2_Day_2_LT</t>
  </si>
  <si>
    <t>8_C_2_Day_3_HT</t>
  </si>
  <si>
    <t>8_C_2_Day_3_LT</t>
  </si>
  <si>
    <t>8_D_1_Day_1_HT</t>
  </si>
  <si>
    <t>8_D_1_Day_1_LT</t>
  </si>
  <si>
    <t>8_D_1_Day_2_HT</t>
  </si>
  <si>
    <t>8_D_1_Day_2_LT</t>
  </si>
  <si>
    <t>8_D_1_Day_3_HT</t>
  </si>
  <si>
    <t>8_D_1_Day_3_LT</t>
  </si>
  <si>
    <t>8_E_1_Day_1_HT</t>
  </si>
  <si>
    <t>8_E_1_Day_1_LT</t>
  </si>
  <si>
    <t>8_E_1_Day_2_HT</t>
  </si>
  <si>
    <t>8_E_1_Day_2_LT</t>
  </si>
  <si>
    <t>8_E_1_Day_3_HT</t>
  </si>
  <si>
    <t>8_E_1_Day_3_LT</t>
  </si>
  <si>
    <t>8_F_1_Day_1_HT</t>
  </si>
  <si>
    <t>8_F_1_Day_1_LT</t>
  </si>
  <si>
    <t>8_F_1_Day_2_HT</t>
  </si>
  <si>
    <t>8_F_1_Day_2_LT</t>
  </si>
  <si>
    <t>8_F_1_Day_3_HT</t>
  </si>
  <si>
    <t>8_F_1_Day_3_LT</t>
  </si>
  <si>
    <t>8_G_1_Day_1_HT</t>
  </si>
  <si>
    <t>8_G_1_Day_1_LT</t>
  </si>
  <si>
    <t>8_G_1_Day_2_HT</t>
  </si>
  <si>
    <t>8_G_1_Day_2_LT</t>
  </si>
  <si>
    <t>8_G_1_Day_3_HT</t>
  </si>
  <si>
    <t>8_G_1_Day_3_LT</t>
  </si>
  <si>
    <t>8_H_1_Day_1_HT</t>
  </si>
  <si>
    <t>8_H_1_Day_1_LT</t>
  </si>
  <si>
    <t>8_H_1_Day_2_HT</t>
  </si>
  <si>
    <t>8_H_1_Day_2_LT</t>
  </si>
  <si>
    <t>8_H_1_Day_3_HT</t>
  </si>
  <si>
    <t>8_H_1_Day_3_LT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</si>
</sst>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00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Calibri"/>
      <family val="2"/>
    </font>
    <font>
      <b/>
      <sz val="11"/>
      <color theme="1"/>
      <name val="Aptos Narrow"/>
      <family val="2"/>
      <scheme val="minor"/>
    </font>
    <font>
      <sz val="10"/>
      <color rgb="FF000000"/>
      <name val="Aptos Narrow"/>
      <family val="2"/>
    </font>
    <font>
      <sz val="9"/>
      <color rgb="FF000000"/>
      <name val="Aptos Narrow"/>
      <family val="2"/>
    </font>
    <font>
      <vertAlign val="superscript"/>
      <sz val="9"/>
      <color rgb="FF000000"/>
      <name val="Aptos Narrow"/>
      <family val="2"/>
    </font>
    <font>
      <sz val="12"/>
      <color rgb="FF000000"/>
      <name val="Aptos Narrow"/>
      <family val="2"/>
    </font>
    <font>
      <sz val="12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0" fontId="0" fillId="0" borderId="0" xfId="0" applyAlignment="1">
      <alignment wrapText="1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0" borderId="0" xfId="0" applyNumberFormat="1"/>
    <xf numFmtId="0" fontId="0" fillId="0" borderId="1" xfId="0" applyBorder="1" applyAlignment="1">
      <alignment wrapText="1"/>
    </xf>
    <xf numFmtId="2" fontId="0" fillId="0" borderId="0" xfId="0" applyNumberFormat="1" applyAlignment="1">
      <alignment wrapText="1"/>
    </xf>
    <xf numFmtId="1" fontId="0" fillId="0" borderId="0" xfId="0" applyNumberFormat="1" applyAlignment="1">
      <alignment horizontal="right" vertical="center" wrapText="1"/>
    </xf>
    <xf numFmtId="1" fontId="2" fillId="0" borderId="2" xfId="0" applyNumberFormat="1" applyFont="1" applyBorder="1" applyAlignment="1">
      <alignment horizontal="right" vertical="center" wrapText="1"/>
    </xf>
    <xf numFmtId="0" fontId="2" fillId="0" borderId="2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1" fontId="2" fillId="0" borderId="0" xfId="0" applyNumberFormat="1" applyFont="1" applyAlignment="1">
      <alignment horizontal="right" vertical="center" wrapText="1"/>
    </xf>
    <xf numFmtId="1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wrapText="1"/>
    </xf>
    <xf numFmtId="4" fontId="0" fillId="0" borderId="0" xfId="0" applyNumberFormat="1" applyAlignment="1">
      <alignment wrapText="1"/>
    </xf>
    <xf numFmtId="4" fontId="0" fillId="0" borderId="0" xfId="0" applyNumberFormat="1"/>
    <xf numFmtId="0" fontId="3" fillId="0" borderId="0" xfId="0" applyFont="1"/>
    <xf numFmtId="0" fontId="0" fillId="0" borderId="2" xfId="0" applyBorder="1"/>
    <xf numFmtId="0" fontId="4" fillId="0" borderId="3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7" fillId="0" borderId="3" xfId="0" applyFont="1" applyBorder="1" applyAlignment="1">
      <alignment vertical="center"/>
    </xf>
    <xf numFmtId="0" fontId="0" fillId="0" borderId="2" xfId="0" applyBorder="1" applyAlignment="1">
      <alignment wrapText="1"/>
    </xf>
    <xf numFmtId="0" fontId="7" fillId="0" borderId="4" xfId="0" applyFont="1" applyBorder="1" applyAlignment="1">
      <alignment vertical="center"/>
    </xf>
    <xf numFmtId="164" fontId="0" fillId="0" borderId="2" xfId="0" applyNumberFormat="1" applyBorder="1" applyAlignment="1">
      <alignment wrapText="1"/>
    </xf>
    <xf numFmtId="0" fontId="8" fillId="0" borderId="2" xfId="0" applyFont="1" applyBorder="1"/>
    <xf numFmtId="0" fontId="7" fillId="0" borderId="2" xfId="0" applyFont="1" applyBorder="1" applyAlignment="1">
      <alignment vertical="center"/>
    </xf>
    <xf numFmtId="0" fontId="0" fillId="0" borderId="0" xfId="0">
      <extLst>
        <ext xmlns:xfpb="http://schemas.microsoft.com/office/spreadsheetml/2022/featurepropertybag" uri="{0417FA29-78FA-4A13-93AC-8FF0FAFDF519}">
          <xfpb:DXFComplement i="0"/>
        </ext>
      </extLst>
    </xf>
  </cellXfs>
  <cellStyles count="1">
    <cellStyle name="Normal" xfId="0" builtinId="0"/>
  </cellStyles>
  <dxfs count="107">
    <dxf>
      <numFmt numFmtId="164" formatCode="#,##0.000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164" formatCode="#,##0.000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" formatCode="0"/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>
          <bgColor theme="3" tint="0.89996032593768116"/>
        </patternFill>
      </fill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#,##0.0000"/>
      <alignment horizontal="general" vertical="bottom" textRotation="0" wrapText="1" indent="0" justifyLastLine="0" shrinkToFit="0" readingOrder="0"/>
    </dxf>
    <dxf>
      <numFmt numFmtId="164" formatCode="#,##0.00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64" formatCode="#,##0.0000"/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3" tint="0.8999603259376811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89996032593768116"/>
        </patternFill>
      </fill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numFmt numFmtId="164" formatCode="#,##0.0000"/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fill>
        <patternFill>
          <bgColor theme="3" tint="0.89996032593768116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numFmt numFmtId="164" formatCode="#,##0.00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general" vertical="bottom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1" formatCode="0"/>
      <alignment horizontal="right" vertical="center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" formatCode="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Table_with_Simple_Borders" pivot="0" count="1" xr9:uid="{AF1B236E-57C9-4B3F-A647-DCEB436F4F1E}">
      <tableStyleElement type="wholeTable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1143000</xdr:colOff>
          <xdr:row>1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1143000</xdr:colOff>
          <xdr:row>1</xdr:row>
          <xdr:rowOff>99060</xdr:rowOff>
        </xdr:to>
        <xdr:sp macro="" textlink="">
          <xdr:nvSpPr>
            <xdr:cNvPr id="2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9E6CD5-A3AC-4763-8EED-31799BBA3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22860</xdr:rowOff>
        </xdr:from>
        <xdr:to>
          <xdr:col>15</xdr:col>
          <xdr:colOff>129540</xdr:colOff>
          <xdr:row>1</xdr:row>
          <xdr:rowOff>83820</xdr:rowOff>
        </xdr:to>
        <xdr:sp macro="" textlink="">
          <xdr:nvSpPr>
            <xdr:cNvPr id="2052" name="Text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5</bagId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594BB9-0C0B-49B0-9DC4-6542DA60DD56}" name="Data_location_codes_characteristics" displayName="Data_location_codes_characteristics" ref="A1:J45" totalsRowShown="0" headerRowDxfId="103" dataDxfId="102">
  <autoFilter ref="A1:J45" xr:uid="{02594BB9-0C0B-49B0-9DC4-6542DA60DD56}"/>
  <tableColumns count="10">
    <tableColumn id="11" xr3:uid="{3BA89889-3F26-48A6-B800-E3B7E64F8598}" name="Code_(plot+location)" dataDxfId="101"/>
    <tableColumn id="2" xr3:uid="{9C5DCEDC-D850-484C-9259-A147733B1B2A}" name="Sub_location" dataDxfId="100"/>
    <tableColumn id="3" xr3:uid="{9C411DE6-E34E-4E6D-8857-606590703C2E}" name="Code_(plot+location+sub_location)" dataDxfId="99">
      <calculatedColumnFormula>_xlfn.TEXTJOIN("_",FALSE,A2,B2)</calculatedColumnFormula>
    </tableColumn>
    <tableColumn id="4" xr3:uid="{2582824F-9783-4B5A-88E4-9837D725EB13}" name="Depth_to_sediment_layer_LT" dataDxfId="98"/>
    <tableColumn id="6" xr3:uid="{CCE65D5E-F33C-4CD5-97D8-944A5164373F}" name="Depth_to_bottom_of_sediment_layer_LT" dataDxfId="97"/>
    <tableColumn id="9" xr3:uid="{9B0A0F56-F1F4-4642-9067-556C16BFFDD0}" name="Depth_of_sediment_LT" dataDxfId="96">
      <calculatedColumnFormula>Data_location_codes_characteristics[[#This Row],[Depth_to_bottom_of_sediment_layer_LT]]-Data_location_codes_characteristics[[#This Row],[Depth_to_sediment_layer_LT]]</calculatedColumnFormula>
    </tableColumn>
    <tableColumn id="5" xr3:uid="{8B257C33-2185-4DB6-A55C-E3D0127855A3}" name="Depth_to_sediment_layer_HT" dataDxfId="95"/>
    <tableColumn id="7" xr3:uid="{F170364C-B66E-4A99-870D-7F3A269B48C2}" name="Depth_to_bottom_of_sediment_layer_HT" dataDxfId="94"/>
    <tableColumn id="10" xr3:uid="{6F27FE7B-FC6F-420E-B29B-269A1A282030}" name="Depth_of_sediment_HT" dataDxfId="93">
      <calculatedColumnFormula>Data_location_codes_characteristics[[#This Row],[Depth_to_bottom_of_sediment_layer_HT]]-Data_location_codes_characteristics[[#This Row],[Depth_to_sediment_layer_HT]]</calculatedColumnFormula>
    </tableColumn>
    <tableColumn id="8" xr3:uid="{17CA014D-0F50-42BC-8B02-C767DEDC5256}" name="Tidal_difference_at_location" dataDxfId="92">
      <calculatedColumnFormula>Data_location_codes_characteristics[[#This Row],[Depth_to_sediment_layer_HT]]-Data_location_codes_characteristics[[#This Row],[Depth_to_sediment_layer_LT]]</calculatedColumnFormula>
    </tableColumn>
  </tableColumns>
  <tableStyleInfo name="TTable_with_Simple_Border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5207AD-B4C0-48F7-A072-7484587D55AA}" name="Data_filter_paper_weights" displayName="Data_filter_paper_weights" ref="A1:I313" totalsRowShown="0" headerRowDxfId="90" dataDxfId="89">
  <autoFilter ref="A1:I313" xr:uid="{2A5207AD-B4C0-48F7-A072-7484587D55AA}"/>
  <tableColumns count="9">
    <tableColumn id="1" xr3:uid="{4E2ADFEE-F586-4817-84A9-364020FE9D64}" name="Filter_paper_number" dataDxfId="88"/>
    <tableColumn id="2" xr3:uid="{127ED204-A014-4374-B737-3F923322E6E9}" name="Weight_1" dataDxfId="87"/>
    <tableColumn id="3" xr3:uid="{0CB215C2-7590-4F56-AE17-62CF4F7DD4D1}" name="Weight_2" dataDxfId="86"/>
    <tableColumn id="4" xr3:uid="{3CEB6E32-53DA-445A-B867-876F770D238F}" name="Weight_3" dataDxfId="85"/>
    <tableColumn id="5" xr3:uid="{17A5C6DB-DF7B-45CE-9255-A585EBD37F65}" name="Average_weight" dataDxfId="84">
      <calculatedColumnFormula>AVERAGE(Data_filter_paper_weights[[#This Row],[Weight_1]:[Weight_3]])</calculatedColumnFormula>
    </tableColumn>
    <tableColumn id="6" xr3:uid="{E5B8655E-3857-4A66-89DE-F725E1C54A53}" name="Dry_weight_of_sediment+filter_paper_1" dataDxfId="83"/>
    <tableColumn id="7" xr3:uid="{347B9549-5065-4E7F-81EC-CA16171CED86}" name="Dry_weight_of_sediment+filter_paper_2" dataDxfId="82"/>
    <tableColumn id="9" xr3:uid="{72C638B7-BEB6-4285-8EF2-A8B6582259C5}" name="Average_weight_of_sediment+filter_paper" dataDxfId="81">
      <calculatedColumnFormula>AVERAGE(Data_filter_paper_weights[[#This Row],[Dry_weight_of_sediment+filter_paper_1]:[Dry_weight_of_sediment+filter_paper_2]])</calculatedColumnFormula>
    </tableColumn>
    <tableColumn id="8" xr3:uid="{3859746E-6084-428C-BDE7-3674DB81A946}" name="Weight_of_sediment" dataDxfId="80">
      <calculatedColumnFormula>Data_filter_paper_weights[[#This Row],[Average_weight_of_sediment+filter_paper]]-Data_filter_paper_weights[[#This Row],[Average_weight]]</calculatedColumnFormula>
    </tableColumn>
  </tableColumns>
  <tableStyleInfo name="TTable_with_Simple_Border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67880-A716-4954-9FB2-1D70F3E3E4D6}" name="Data_depth_integrated2" displayName="Data_depth_integrated2" ref="A3:O267" totalsRowShown="0" headerRowDxfId="16" dataDxfId="15">
  <autoFilter ref="A3:O267" xr:uid="{7E667880-A716-4954-9FB2-1D70F3E3E4D6}"/>
  <sortState xmlns:xlrd2="http://schemas.microsoft.com/office/spreadsheetml/2017/richdata2" ref="A4:N267">
    <sortCondition ref="A3:A267"/>
  </sortState>
  <tableColumns count="15">
    <tableColumn id="4" xr3:uid="{95BCEFFA-0103-45DC-AF4F-4A398848307A}" name="Code_(plot+location+sub_location+sampling_day+HT/LT)" dataDxfId="14"/>
    <tableColumn id="9" xr3:uid="{152C15C4-F34A-426B-866C-98BCD20D63EC}" name="Plot" dataDxfId="13">
      <calculatedColumnFormula>MID(Data_depth_integrated2[[#This Row],[Code_(plot+location+sub_location+sampling_day+HT/LT)]],1,SEARCH("_",Data_depth_integrated2[[#This Row],[Code_(plot+location+sub_location+sampling_day+HT/LT)]])-1)</calculatedColumnFormula>
    </tableColumn>
    <tableColumn id="2" xr3:uid="{3B060342-F4BF-4A93-9F98-0C4B6E911536}" name="Main_location" dataDxfId="12">
      <calculatedColumnFormula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calculatedColumnFormula>
    </tableColumn>
    <tableColumn id="1" xr3:uid="{EF1CB959-FE30-4914-9590-EA192C8A4B9A}" name="Sub_location" dataDxfId="11">
      <calculatedColumnFormula>MID(Data_depth_integrated2[[#This Row],[Code_(plot+location+sub_location+sampling_day+HT/LT)]],FIND("_Day",Data_depth_integrated2[[#This Row],[Code_(plot+location+sub_location+sampling_day+HT/LT)]])-1,1)</calculatedColumnFormula>
    </tableColumn>
    <tableColumn id="10" xr3:uid="{3B76478B-2D08-4B39-B754-2B3D52DDEA7D}" name="Sampling_day" dataDxfId="10">
      <calculatedColumnFormula>_xlfn.LET(
  _xlpm.parts, _xlfn.TEXTSPLIT(Data_depth_integrated2[[#This Row],[Code_(plot+location+sub_location+sampling_day+HT/LT)]], "_"),
  _xlpm.count, COUNTA(_xlpm.parts),
  _xlfn.TEXTJOIN("_",, INDEX(_xlpm.parts, _xlpm.count - 2), INDEX(_xlpm.parts, _xlpm.count - 1))
)</calculatedColumnFormula>
    </tableColumn>
    <tableColumn id="3" xr3:uid="{65B5CECB-9DA2-43E2-9922-1DB28637E0B7}" name="HT_(=TRUE)/LT_(=FALSE)" dataDxfId="9"/>
    <tableColumn id="16" xr3:uid="{88B2F6BF-E0F3-4A10-B183-82EF27B6075B}" name="HC_(=TRUE)/LC_(=FALSE)" dataDxfId="8"/>
    <tableColumn id="5" xr3:uid="{24BDBA96-71B0-40A0-B88D-B20F7E9F39C0}" name="Taken_(=TRUE)/Skipped_(=FALSE)" dataDxfId="7"/>
    <tableColumn id="19" xr3:uid="{BA311FA0-70AA-4A6D-91E8-F9A682793A6C}" name="Depth_of_water_column_to_sediment_layer" dataDxfId="6"/>
    <tableColumn id="18" xr3:uid="{FF552CAE-3B30-4B65-AB96-DC8E77374B00}" name="Depth_to_bottom_of_sediment_layer" dataDxfId="5"/>
    <tableColumn id="17" xr3:uid="{883C90BB-A427-4F08-A7CC-846243F4D6C2}" name="Total_sampling_time" dataDxfId="4"/>
    <tableColumn id="8" xr3:uid="{22B76223-9742-465D-A72F-A799530B6396}" name="Transit_rate(m/s)" dataDxfId="3">
      <calculatedColumnFormula>((Data_depth_integrated2[[#This Row],[Depth_of_water_column_to_sediment_layer]]/100)/Data_depth_integrated2[[#This Row],[Total_sampling_time]])</calculatedColumnFormula>
    </tableColumn>
    <tableColumn id="7" xr3:uid="{2DFEF07E-7F9C-46D4-8064-C68121FEB78F}" name="TDS_(g/L)" dataDxfId="2"/>
    <tableColumn id="6" xr3:uid="{610F116D-BEF9-457C-BA09-5C33ED62F529}" name="Filter_paper_number" dataDxfId="1"/>
    <tableColumn id="11" xr3:uid="{3B9D3BFD-E93B-4A93-8CBD-825F8D7FF334}" name="Average_weight_of_sediment" dataDxfId="0"/>
  </tableColumns>
  <tableStyleInfo name="TTable_with_Simple_Border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EE0679-026D-4CDB-8C3D-08380C786B21}" name="Table_analysis_DI13" displayName="Table_analysis_DI13" ref="A1:Z23" totalsRowShown="0" headerRowDxfId="78" dataDxfId="77">
  <autoFilter ref="A1:Z23" xr:uid="{EEEE0679-026D-4CDB-8C3D-08380C786B21}"/>
  <tableColumns count="26">
    <tableColumn id="2" xr3:uid="{80E052B8-DDE1-4059-A04A-F21113FD8CC6}" name="Case code" dataDxfId="76"/>
    <tableColumn id="27" xr3:uid="{8EF024F8-9920-4A0F-BE44-DC9E210DD0DD}" name="Case description" dataDxfId="75"/>
    <tableColumn id="3" xr3:uid="{5528C56B-8501-429D-8B7C-EA169EAD7B1C}" name="No. of samples" dataDxfId="74"/>
    <tableColumn id="4" xr3:uid="{95653FD4-AB60-4A64-B098-BE748093D345}" name="Mean concentration (g/L)" dataDxfId="73"/>
    <tableColumn id="5" xr3:uid="{59499073-1F0C-43EF-89CA-A32F83B8001B}" name="Median concentration (g/L)" dataDxfId="72"/>
    <tableColumn id="6" xr3:uid="{CF8CCB39-7664-4BE3-B579-6B2631084C0C}" name="Minimum concentration (g/L)" dataDxfId="71"/>
    <tableColumn id="7" xr3:uid="{DBB53F78-875F-4D53-9D0D-A63CADCC687A}" name="Maximum concentration (g/L)" dataDxfId="70"/>
    <tableColumn id="8" xr3:uid="{6E6BB4DA-79D0-4C23-ACA7-B1FF4D697518}" name="Range (g/L)" dataDxfId="69"/>
    <tableColumn id="9" xr3:uid="{A44C8A34-37EF-4BA0-B457-64CBEC556FE1}" name="Stddev (g/L)" dataDxfId="68"/>
    <tableColumn id="10" xr3:uid="{FECF3B0F-155C-4257-B0ED-CDD29AF6B947}" name="Lower 95% CI (g/L)" dataDxfId="67"/>
    <tableColumn id="11" xr3:uid="{672268EE-FC1F-42B9-BC72-CBB421A3E699}" name="Upper 95% CI (g/L)" dataDxfId="66"/>
    <tableColumn id="12" xr3:uid="{4A29435B-EF14-4087-8109-8130AD6C976A}" name="1st Quartile (g/L)" dataDxfId="65"/>
    <tableColumn id="13" xr3:uid="{C65B8D2B-BCB4-4488-9D97-DAF83CB195C7}" name="2nd Quartile (g/L)" dataDxfId="64"/>
    <tableColumn id="14" xr3:uid="{32356F3C-B2E2-46DB-B64D-3D3654F64C01}" name="Interquartile range (g/L)" dataDxfId="63"/>
    <tableColumn id="15" xr3:uid="{B15C5A52-A790-4F4E-A24F-BC6ED8B07329}" name="N_TDS" dataDxfId="62"/>
    <tableColumn id="16" xr3:uid="{C7533DC1-24D9-48AB-93D8-67DD03A0831F}" name="Mean_TDS" dataDxfId="61"/>
    <tableColumn id="17" xr3:uid="{93A1AEE6-E67A-44C6-95BD-F4DDA58BE78C}" name="Median_TDS" dataDxfId="60"/>
    <tableColumn id="18" xr3:uid="{F896699E-3963-4027-98FE-CA3740A9D7BC}" name="Min_TDS" dataDxfId="59"/>
    <tableColumn id="19" xr3:uid="{ACC30D92-6C25-4A27-9735-6BBF74C00DC1}" name="Max_TDS" dataDxfId="58"/>
    <tableColumn id="20" xr3:uid="{21E4AF1E-8F34-473F-B278-941727F522F3}" name="Range_TDS" dataDxfId="57"/>
    <tableColumn id="21" xr3:uid="{2D3BC301-0B07-4686-9EC0-E2221C2CBF7F}" name="StdDev_TDS" dataDxfId="56"/>
    <tableColumn id="22" xr3:uid="{820FF61D-DB21-400C-9DB1-99DE936CF57E}" name="95_CI_Lower_TDS" dataDxfId="55"/>
    <tableColumn id="23" xr3:uid="{AAAF99FF-3D77-4A62-9C66-3D19D6667390}" name="95_CI_Upper_TDS" dataDxfId="54"/>
    <tableColumn id="24" xr3:uid="{2F1FEDC4-8D47-4107-A585-4F91E362E5DE}" name="Q1_TDS" dataDxfId="53"/>
    <tableColumn id="25" xr3:uid="{5E38D16C-F5A6-4A5B-B59C-D22976EC91DF}" name="Q3_TDS" dataDxfId="52"/>
    <tableColumn id="26" xr3:uid="{3601465B-6324-46CA-A2F2-CB22F2D1106F}" name="IQR_TDS" dataDxfId="51"/>
  </tableColumns>
  <tableStyleInfo name="TTable_with_Simple_Borders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35E815-956C-49E9-B03A-630C5A6ECBE0}" name="Data_rising_stage" displayName="Data_rising_stage" ref="A3:O39" totalsRowShown="0" headerRowDxfId="47" dataDxfId="45" headerRowBorderDxfId="46" tableBorderDxfId="44">
  <autoFilter ref="A3:O39" xr:uid="{B935E815-956C-49E9-B03A-630C5A6ECBE0}"/>
  <tableColumns count="15">
    <tableColumn id="13" xr3:uid="{DB268CEC-918C-4936-A0F3-D99F110D955F}" name="Code_(plot+location+sampling_day+position+HT/LT)" dataDxfId="43"/>
    <tableColumn id="6" xr3:uid="{514A4FA3-1A78-4267-9F5C-927AC53A92D8}" name="Plot" dataDxfId="42"/>
    <tableColumn id="14" xr3:uid="{9CB2FD2C-9C16-4C16-88FA-FDBAD02165CD}" name="Location" dataDxfId="41"/>
    <tableColumn id="3" xr3:uid="{01506F7B-D7D2-42BE-8125-717C15FCCECB}" name="Sampling_day" dataDxfId="40"/>
    <tableColumn id="4" xr3:uid="{251C796D-E406-42FD-8997-F56C749A74E8}" name="Water_column_position_(T_M_B)" dataDxfId="39"/>
    <tableColumn id="5" xr3:uid="{3280FF70-DE5F-4486-B60C-676D1C654357}" name="HT_(=TRUE)/LT_(=FALSE)" dataDxfId="38"/>
    <tableColumn id="7" xr3:uid="{85A309A1-B5A2-49AD-A61C-9901B5BBBAC3}" name="Taken_(=TRUE)/Skipped_(=FALSE)" dataDxfId="37"/>
    <tableColumn id="2" xr3:uid="{4F7593C4-CC8B-4862-A0F3-6A4690B177E9}" name="Depth_of_water_column_to_sediment_layer" dataDxfId="36"/>
    <tableColumn id="12" xr3:uid="{16471480-F827-42F5-A9FF-AE15FD049597}" name="Depth_to_bottom_of_sediment_layer" dataDxfId="35"/>
    <tableColumn id="11" xr3:uid="{49BCEF08-8DD1-4BFA-AA23-12B5E55FD0AC}" name="Total_sampling_time" dataDxfId="34"/>
    <tableColumn id="9" xr3:uid="{A2DB3485-275F-4E77-9C5B-28BE24BD9363}" name="Transit_rate(m/s)" dataDxfId="33">
      <calculatedColumnFormula>(Data_rising_stage[[#This Row],[Depth_of_water_column_to_sediment_layer]]/100)/Data_rising_stage[[#This Row],[Total_sampling_time]]</calculatedColumnFormula>
    </tableColumn>
    <tableColumn id="10" xr3:uid="{F849FA54-DA9C-407C-B6C4-F9F4B2DAAA59}" name="TDS_(g/L)" dataDxfId="32"/>
    <tableColumn id="8" xr3:uid="{CBF91784-7072-4A67-850C-58AFD1C461A9}" name="Filter_paper_number" dataDxfId="31"/>
    <tableColumn id="1" xr3:uid="{EE0A0925-B73E-47C5-A7C7-3297142576FD}" name="Weight_of_sediment_per_0.5L" dataDxfId="30">
      <calculatedColumnFormula array="1">VLOOKUP(Data_rising_stage[[#This Row],[Filter_paper_number]], Data_filter_paper_weights[#All], COLUMN(Data_filter_paper_weights[Weight_of_sediment]), FALSE)</calculatedColumnFormula>
    </tableColumn>
    <tableColumn id="15" xr3:uid="{C8AA700E-B4F0-423C-921B-54EBD270F085}" name="Suspended_Sediment_Concentration_(g/L)" dataDxfId="29">
      <calculatedColumnFormula>Data_rising_stage[[#This Row],[Weight_of_sediment_per_0.5L]]*2</calculatedColumnFormula>
    </tableColumn>
  </tableColumns>
  <tableStyleInfo name="TTable_with_Simple_Borders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2018B2-012F-4015-A8FD-C54D00B1871E}" name="RS_Output_stats" displayName="RS_Output_stats" ref="A1:M30" totalsRowShown="0" headerRowDxfId="28">
  <autoFilter ref="A1:M30" xr:uid="{F22018B2-012F-4015-A8FD-C54D00B1871E}"/>
  <tableColumns count="13">
    <tableColumn id="1" xr3:uid="{FDFAFD8F-E3F8-4692-BF62-EB02196D127B}" name="Case Description"/>
    <tableColumn id="2" xr3:uid="{1F54C660-EA0C-47F4-9813-77D235D4CC7B}" name="N (Count)"/>
    <tableColumn id="3" xr3:uid="{4F80A7C5-C49F-4B44-B6CE-08D74DB5A33C}" name="Mean"/>
    <tableColumn id="4" xr3:uid="{ACCCD066-3465-4996-9C3E-5FB336575E44}" name="Median" dataDxfId="27"/>
    <tableColumn id="5" xr3:uid="{4AA8F941-AED8-49FF-A035-79086F5730AA}" name="Min" dataDxfId="26"/>
    <tableColumn id="6" xr3:uid="{37DEF2F4-2057-4A7D-A1F4-069B307AA969}" name="Max" dataDxfId="25"/>
    <tableColumn id="7" xr3:uid="{2B9320B5-273A-4B7A-8915-E972E6ECAA29}" name="Range" dataDxfId="24"/>
    <tableColumn id="8" xr3:uid="{7D912BAC-DC67-4B88-ABAB-6B2F5008D815}" name="Q1 (First Quartile)" dataDxfId="23"/>
    <tableColumn id="10" xr3:uid="{FC651BD8-1661-4EE8-A2E3-74A03BDBFC39}" name="Q3 (Third Quartile)" dataDxfId="22"/>
    <tableColumn id="11" xr3:uid="{956E6B90-F699-4288-8678-2E775A5608EF}" name="IQR (Interquartile Range)" dataDxfId="21"/>
    <tableColumn id="12" xr3:uid="{BDA788E3-3DC0-43C4-AE37-60DC3BEB09CF}" name="StdDev (Sample)" dataDxfId="20"/>
    <tableColumn id="13" xr3:uid="{1D70B6B2-FB90-416B-8BDD-FA50F9BFA1D6}" name="95% CI Lower" dataDxfId="19"/>
    <tableColumn id="14" xr3:uid="{A601BFF0-D7AB-4F0F-A654-E6E6AB5F1282}" name="95% CI Upper" dataDxfId="18"/>
  </tableColumns>
  <tableStyleInfo name="TTable_with_Simple_Border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3A7E162-8B9E-4DA2-814C-D9545975FDEB}">
  <we:reference id="wa200005502" version="1.0.0.11" store="en-GB" storeType="OMEX"/>
  <we:alternateReferences>
    <we:reference id="wa200005502" version="1.0.0.11" store="wa200005502" storeType="OMEX"/>
  </we:alternateReferences>
  <we:properties>
    <we:property name="docId" value="&quot;parZ_i9KN3BTpYgEi1S_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2D3E6FB-B26A-4D8B-8147-0DAFBC288719}">
  <we:reference id="wa200007447" version="1.0.0.0" store="en-GB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92FFD-CE90-4280-9E1D-CCCF1DF67803}">
  <dimension ref="A1:D24"/>
  <sheetViews>
    <sheetView topLeftCell="A13" workbookViewId="0">
      <selection activeCell="B8" sqref="B8"/>
    </sheetView>
  </sheetViews>
  <sheetFormatPr defaultRowHeight="14.4" x14ac:dyDescent="0.3"/>
  <cols>
    <col min="1" max="1" width="17.77734375" bestFit="1" customWidth="1"/>
    <col min="2" max="2" width="18.21875" bestFit="1" customWidth="1"/>
    <col min="3" max="3" width="8.5546875" bestFit="1" customWidth="1"/>
    <col min="4" max="4" width="9.88671875" bestFit="1" customWidth="1"/>
  </cols>
  <sheetData>
    <row r="1" spans="1:4" x14ac:dyDescent="0.3">
      <c r="A1" s="21" t="s">
        <v>3</v>
      </c>
      <c r="B1" s="17" t="s">
        <v>1</v>
      </c>
      <c r="C1" s="17" t="s">
        <v>699</v>
      </c>
      <c r="D1" s="17" t="s">
        <v>700</v>
      </c>
    </row>
    <row r="2" spans="1:4" x14ac:dyDescent="0.3">
      <c r="A2" s="21" t="s">
        <v>449</v>
      </c>
      <c r="B2" s="17" t="s">
        <v>698</v>
      </c>
      <c r="C2" s="17" t="str">
        <f>LEFT(B2,FIND(",",B2)-1)</f>
        <v>7.711446</v>
      </c>
      <c r="D2" s="17" t="str">
        <f>RIGHT(B2,FIND(",",B2)+1)</f>
        <v xml:space="preserve"> 79.801259</v>
      </c>
    </row>
    <row r="3" spans="1:4" x14ac:dyDescent="0.3">
      <c r="A3" s="21" t="s">
        <v>450</v>
      </c>
      <c r="B3" s="17" t="s">
        <v>701</v>
      </c>
      <c r="C3" s="17" t="str">
        <f t="shared" ref="C3:C24" si="0">LEFT(B3,FIND(",",B3)-1)</f>
        <v>7.715438</v>
      </c>
      <c r="D3" s="17" t="str">
        <f t="shared" ref="D3:D24" si="1">RIGHT(B3,FIND(",",B3)+1)</f>
        <v xml:space="preserve"> 79.804160</v>
      </c>
    </row>
    <row r="4" spans="1:4" x14ac:dyDescent="0.3">
      <c r="A4" s="21" t="s">
        <v>451</v>
      </c>
      <c r="B4" s="17" t="s">
        <v>702</v>
      </c>
      <c r="C4" s="17" t="str">
        <f t="shared" si="0"/>
        <v>7.719157</v>
      </c>
      <c r="D4" s="17" t="str">
        <f t="shared" si="1"/>
        <v xml:space="preserve"> 79.805777</v>
      </c>
    </row>
    <row r="5" spans="1:4" x14ac:dyDescent="0.3">
      <c r="A5" s="21" t="s">
        <v>452</v>
      </c>
      <c r="B5" s="17" t="s">
        <v>703</v>
      </c>
      <c r="C5" s="17" t="str">
        <f t="shared" si="0"/>
        <v>7.714706</v>
      </c>
      <c r="D5" s="17" t="str">
        <f t="shared" si="1"/>
        <v xml:space="preserve"> 79.804095</v>
      </c>
    </row>
    <row r="6" spans="1:4" x14ac:dyDescent="0.3">
      <c r="A6" s="21" t="s">
        <v>453</v>
      </c>
      <c r="B6" s="17" t="s">
        <v>704</v>
      </c>
      <c r="C6" s="17" t="str">
        <f t="shared" si="0"/>
        <v>7.714644</v>
      </c>
      <c r="D6" s="17" t="str">
        <f t="shared" si="1"/>
        <v xml:space="preserve"> 79.804235</v>
      </c>
    </row>
    <row r="7" spans="1:4" x14ac:dyDescent="0.3">
      <c r="A7" s="21" t="s">
        <v>454</v>
      </c>
      <c r="B7" s="17" t="s">
        <v>705</v>
      </c>
      <c r="C7" s="17" t="str">
        <f t="shared" si="0"/>
        <v>7.714175</v>
      </c>
      <c r="D7" s="17" t="str">
        <f t="shared" si="1"/>
        <v xml:space="preserve"> 79.804124</v>
      </c>
    </row>
    <row r="8" spans="1:4" x14ac:dyDescent="0.3">
      <c r="A8" s="21" t="s">
        <v>455</v>
      </c>
      <c r="B8" s="17" t="s">
        <v>706</v>
      </c>
      <c r="C8" s="17" t="str">
        <f t="shared" si="0"/>
        <v>7.714486</v>
      </c>
      <c r="D8" s="17" t="str">
        <f t="shared" si="1"/>
        <v xml:space="preserve"> 79.804678</v>
      </c>
    </row>
    <row r="9" spans="1:4" x14ac:dyDescent="0.3">
      <c r="A9" s="21" t="s">
        <v>696</v>
      </c>
      <c r="B9" s="17" t="s">
        <v>707</v>
      </c>
      <c r="C9" s="17" t="str">
        <f t="shared" si="0"/>
        <v>7.714526</v>
      </c>
      <c r="D9" s="17" t="str">
        <f t="shared" si="1"/>
        <v xml:space="preserve"> 79.804670</v>
      </c>
    </row>
    <row r="10" spans="1:4" x14ac:dyDescent="0.3">
      <c r="A10" s="21" t="s">
        <v>456</v>
      </c>
      <c r="B10" s="17" t="s">
        <v>708</v>
      </c>
      <c r="C10" s="17" t="str">
        <f t="shared" si="0"/>
        <v>7.713998</v>
      </c>
      <c r="D10" s="17" t="str">
        <f t="shared" si="1"/>
        <v xml:space="preserve"> 79.804730</v>
      </c>
    </row>
    <row r="11" spans="1:4" x14ac:dyDescent="0.3">
      <c r="A11" s="21" t="s">
        <v>457</v>
      </c>
      <c r="B11" s="17" t="s">
        <v>709</v>
      </c>
      <c r="C11" s="17" t="str">
        <f t="shared" si="0"/>
        <v>7.714281</v>
      </c>
      <c r="D11" s="17" t="str">
        <f t="shared" si="1"/>
        <v xml:space="preserve"> 79.805408</v>
      </c>
    </row>
    <row r="12" spans="1:4" x14ac:dyDescent="0.3">
      <c r="A12" s="21" t="s">
        <v>458</v>
      </c>
      <c r="B12" s="17" t="s">
        <v>710</v>
      </c>
      <c r="C12" s="17" t="str">
        <f t="shared" si="0"/>
        <v>7.716570</v>
      </c>
      <c r="D12" s="17" t="str">
        <f t="shared" si="1"/>
        <v xml:space="preserve"> 79.804779</v>
      </c>
    </row>
    <row r="13" spans="1:4" x14ac:dyDescent="0.3">
      <c r="A13" s="21" t="s">
        <v>459</v>
      </c>
      <c r="B13" s="17" t="s">
        <v>711</v>
      </c>
      <c r="C13" s="17" t="str">
        <f t="shared" si="0"/>
        <v>7.716687</v>
      </c>
      <c r="D13" s="17" t="str">
        <f t="shared" si="1"/>
        <v xml:space="preserve"> 79.805225</v>
      </c>
    </row>
    <row r="14" spans="1:4" x14ac:dyDescent="0.3">
      <c r="A14" s="21" t="s">
        <v>460</v>
      </c>
      <c r="B14" s="17" t="s">
        <v>712</v>
      </c>
      <c r="C14" s="17" t="str">
        <f t="shared" si="0"/>
        <v>7.716462</v>
      </c>
      <c r="D14" s="17" t="str">
        <f t="shared" si="1"/>
        <v xml:space="preserve"> 79.805904</v>
      </c>
    </row>
    <row r="15" spans="1:4" x14ac:dyDescent="0.3">
      <c r="A15" s="21" t="s">
        <v>461</v>
      </c>
      <c r="B15" s="17" t="s">
        <v>713</v>
      </c>
      <c r="C15" s="17" t="str">
        <f t="shared" si="0"/>
        <v>7.717166</v>
      </c>
      <c r="D15" s="17" t="str">
        <f t="shared" si="1"/>
        <v xml:space="preserve"> 79.806172</v>
      </c>
    </row>
    <row r="16" spans="1:4" x14ac:dyDescent="0.3">
      <c r="A16" s="21" t="s">
        <v>697</v>
      </c>
      <c r="B16" s="17" t="s">
        <v>714</v>
      </c>
      <c r="C16" s="17" t="str">
        <f t="shared" si="0"/>
        <v>7.717204</v>
      </c>
      <c r="D16" s="17" t="str">
        <f t="shared" si="1"/>
        <v xml:space="preserve"> 79.806129</v>
      </c>
    </row>
    <row r="17" spans="1:4" x14ac:dyDescent="0.3">
      <c r="A17" s="21" t="s">
        <v>462</v>
      </c>
      <c r="B17" s="17" t="s">
        <v>715</v>
      </c>
      <c r="C17" s="17" t="str">
        <f t="shared" si="0"/>
        <v>7.716873</v>
      </c>
      <c r="D17" s="17" t="str">
        <f t="shared" si="1"/>
        <v xml:space="preserve"> 79.806060</v>
      </c>
    </row>
    <row r="18" spans="1:4" x14ac:dyDescent="0.3">
      <c r="A18" s="21" t="s">
        <v>463</v>
      </c>
      <c r="B18" s="17" t="s">
        <v>716</v>
      </c>
      <c r="C18" s="17" t="str">
        <f t="shared" si="0"/>
        <v>7.717480</v>
      </c>
      <c r="D18" s="17" t="str">
        <f t="shared" si="1"/>
        <v xml:space="preserve"> 79.806836</v>
      </c>
    </row>
    <row r="19" spans="1:4" x14ac:dyDescent="0.3">
      <c r="A19" s="21" t="s">
        <v>464</v>
      </c>
      <c r="B19" s="17" t="s">
        <v>717</v>
      </c>
      <c r="C19" s="17" t="str">
        <f t="shared" si="0"/>
        <v>7.719555</v>
      </c>
      <c r="D19" s="17" t="str">
        <f t="shared" si="1"/>
        <v xml:space="preserve"> 79.806492</v>
      </c>
    </row>
    <row r="20" spans="1:4" x14ac:dyDescent="0.3">
      <c r="A20" s="21" t="s">
        <v>465</v>
      </c>
      <c r="B20" s="17" t="s">
        <v>718</v>
      </c>
      <c r="C20" s="17" t="str">
        <f t="shared" si="0"/>
        <v>7.720088</v>
      </c>
      <c r="D20" s="17" t="str">
        <f t="shared" si="1"/>
        <v xml:space="preserve"> 79.806689</v>
      </c>
    </row>
    <row r="21" spans="1:4" x14ac:dyDescent="0.3">
      <c r="A21" s="21" t="s">
        <v>466</v>
      </c>
      <c r="B21" s="17" t="s">
        <v>719</v>
      </c>
      <c r="C21" s="17" t="str">
        <f t="shared" si="0"/>
        <v>7.720724</v>
      </c>
      <c r="D21" s="17" t="str">
        <f t="shared" si="1"/>
        <v xml:space="preserve"> 79.806870</v>
      </c>
    </row>
    <row r="22" spans="1:4" x14ac:dyDescent="0.3">
      <c r="A22" s="21" t="s">
        <v>467</v>
      </c>
      <c r="B22" s="17" t="s">
        <v>720</v>
      </c>
      <c r="C22" s="17" t="str">
        <f t="shared" si="0"/>
        <v>7.719360</v>
      </c>
      <c r="D22" s="17" t="str">
        <f t="shared" si="1"/>
        <v xml:space="preserve"> 79.806904</v>
      </c>
    </row>
    <row r="23" spans="1:4" x14ac:dyDescent="0.3">
      <c r="A23" s="21" t="s">
        <v>468</v>
      </c>
      <c r="B23" s="17" t="s">
        <v>721</v>
      </c>
      <c r="C23" s="17" t="str">
        <f t="shared" si="0"/>
        <v>7.719917</v>
      </c>
      <c r="D23" s="17" t="str">
        <f t="shared" si="1"/>
        <v xml:space="preserve"> 79.807086</v>
      </c>
    </row>
    <row r="24" spans="1:4" x14ac:dyDescent="0.3">
      <c r="A24" s="21" t="s">
        <v>469</v>
      </c>
      <c r="B24" s="17" t="s">
        <v>722</v>
      </c>
      <c r="C24" s="17" t="str">
        <f t="shared" si="0"/>
        <v>7.720539</v>
      </c>
      <c r="D24" s="17" t="str">
        <f t="shared" si="1"/>
        <v xml:space="preserve"> 79.807298</v>
      </c>
    </row>
  </sheetData>
  <conditionalFormatting sqref="A1:A24">
    <cfRule type="cellIs" dxfId="10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33FD-3907-4A8C-B15B-22BC92B35658}">
  <sheetPr codeName="Sheet3"/>
  <dimension ref="A1:J47"/>
  <sheetViews>
    <sheetView topLeftCell="F1" workbookViewId="0">
      <selection activeCell="F6" sqref="F6"/>
    </sheetView>
  </sheetViews>
  <sheetFormatPr defaultColWidth="8.88671875" defaultRowHeight="14.4" x14ac:dyDescent="0.3"/>
  <cols>
    <col min="1" max="1" width="20.44140625" style="1" customWidth="1"/>
    <col min="2" max="2" width="13.6640625" style="2" customWidth="1"/>
    <col min="3" max="10" width="25.6640625" style="1" customWidth="1"/>
    <col min="11" max="16384" width="8.88671875" style="1"/>
  </cols>
  <sheetData>
    <row r="1" spans="1:10" ht="28.8" x14ac:dyDescent="0.3">
      <c r="A1" s="1" t="s">
        <v>3</v>
      </c>
      <c r="B1" s="1" t="s">
        <v>2</v>
      </c>
      <c r="C1" s="1" t="s">
        <v>4</v>
      </c>
      <c r="D1" s="1" t="s">
        <v>442</v>
      </c>
      <c r="E1" s="1" t="s">
        <v>444</v>
      </c>
      <c r="F1" s="1" t="s">
        <v>447</v>
      </c>
      <c r="G1" s="1" t="s">
        <v>443</v>
      </c>
      <c r="H1" s="1" t="s">
        <v>445</v>
      </c>
      <c r="I1" s="1" t="s">
        <v>448</v>
      </c>
      <c r="J1" s="1" t="s">
        <v>446</v>
      </c>
    </row>
    <row r="2" spans="1:10" x14ac:dyDescent="0.3">
      <c r="A2" s="1" t="s">
        <v>449</v>
      </c>
      <c r="B2" s="2">
        <v>1</v>
      </c>
      <c r="C2" s="1" t="str">
        <f t="shared" ref="C2:C45" si="0">_xlfn.TEXTJOIN("_",FALSE,A2,B2)</f>
        <v>0_A_1</v>
      </c>
      <c r="D2" s="7">
        <v>29</v>
      </c>
      <c r="E2" s="7">
        <v>32</v>
      </c>
      <c r="F2" s="7">
        <f>Data_location_codes_characteristics[[#This Row],[Depth_to_bottom_of_sediment_layer_LT]]-Data_location_codes_characteristics[[#This Row],[Depth_to_sediment_layer_LT]]</f>
        <v>3</v>
      </c>
      <c r="G2" s="7">
        <v>35</v>
      </c>
      <c r="H2" s="7">
        <v>37</v>
      </c>
      <c r="I2" s="7">
        <f>Data_location_codes_characteristics[[#This Row],[Depth_to_bottom_of_sediment_layer_HT]]-Data_location_codes_characteristics[[#This Row],[Depth_to_sediment_layer_HT]]</f>
        <v>2</v>
      </c>
      <c r="J2" s="2">
        <f>Data_location_codes_characteristics[[#This Row],[Depth_to_sediment_layer_HT]]-Data_location_codes_characteristics[[#This Row],[Depth_to_sediment_layer_LT]]</f>
        <v>6</v>
      </c>
    </row>
    <row r="3" spans="1:10" x14ac:dyDescent="0.3">
      <c r="A3" s="1" t="s">
        <v>449</v>
      </c>
      <c r="B3" s="2">
        <v>2</v>
      </c>
      <c r="C3" s="1" t="str">
        <f t="shared" si="0"/>
        <v>0_A_2</v>
      </c>
      <c r="D3" s="7">
        <v>56</v>
      </c>
      <c r="E3" s="7">
        <v>57</v>
      </c>
      <c r="F3" s="7">
        <f>Data_location_codes_characteristics[[#This Row],[Depth_to_bottom_of_sediment_layer_LT]]-Data_location_codes_characteristics[[#This Row],[Depth_to_sediment_layer_LT]]</f>
        <v>1</v>
      </c>
      <c r="G3" s="8">
        <v>62</v>
      </c>
      <c r="H3" s="8">
        <v>62</v>
      </c>
      <c r="I3" s="11">
        <f>Data_location_codes_characteristics[[#This Row],[Depth_to_bottom_of_sediment_layer_HT]]-Data_location_codes_characteristics[[#This Row],[Depth_to_sediment_layer_HT]]</f>
        <v>0</v>
      </c>
      <c r="J3" s="2">
        <f>Data_location_codes_characteristics[[#This Row],[Depth_to_sediment_layer_HT]]-Data_location_codes_characteristics[[#This Row],[Depth_to_sediment_layer_LT]]</f>
        <v>6</v>
      </c>
    </row>
    <row r="4" spans="1:10" x14ac:dyDescent="0.3">
      <c r="A4" s="1" t="s">
        <v>450</v>
      </c>
      <c r="B4" s="2">
        <v>1</v>
      </c>
      <c r="C4" s="1" t="str">
        <f t="shared" si="0"/>
        <v>0_B_middle_1</v>
      </c>
      <c r="D4" s="7">
        <v>33</v>
      </c>
      <c r="E4" s="7">
        <v>40</v>
      </c>
      <c r="F4" s="7">
        <f>Data_location_codes_characteristics[[#This Row],[Depth_to_bottom_of_sediment_layer_LT]]-Data_location_codes_characteristics[[#This Row],[Depth_to_sediment_layer_LT]]</f>
        <v>7</v>
      </c>
      <c r="G4" s="7">
        <v>38</v>
      </c>
      <c r="H4" s="7">
        <v>45</v>
      </c>
      <c r="I4" s="7">
        <f>Data_location_codes_characteristics[[#This Row],[Depth_to_bottom_of_sediment_layer_HT]]-Data_location_codes_characteristics[[#This Row],[Depth_to_sediment_layer_HT]]</f>
        <v>7</v>
      </c>
      <c r="J4" s="2">
        <f>Data_location_codes_characteristics[[#This Row],[Depth_to_sediment_layer_HT]]-Data_location_codes_characteristics[[#This Row],[Depth_to_sediment_layer_LT]]</f>
        <v>5</v>
      </c>
    </row>
    <row r="5" spans="1:10" x14ac:dyDescent="0.3">
      <c r="A5" s="1" t="s">
        <v>450</v>
      </c>
      <c r="B5" s="2">
        <v>2</v>
      </c>
      <c r="C5" s="1" t="str">
        <f t="shared" si="0"/>
        <v>0_B_middle_2</v>
      </c>
      <c r="D5" s="7">
        <v>98</v>
      </c>
      <c r="E5" s="7">
        <v>129</v>
      </c>
      <c r="F5" s="7">
        <f>Data_location_codes_characteristics[[#This Row],[Depth_to_bottom_of_sediment_layer_LT]]-Data_location_codes_characteristics[[#This Row],[Depth_to_sediment_layer_LT]]</f>
        <v>31</v>
      </c>
      <c r="G5" s="7">
        <v>104</v>
      </c>
      <c r="H5" s="7">
        <v>136</v>
      </c>
      <c r="I5" s="7">
        <f>Data_location_codes_characteristics[[#This Row],[Depth_to_bottom_of_sediment_layer_HT]]-Data_location_codes_characteristics[[#This Row],[Depth_to_sediment_layer_HT]]</f>
        <v>32</v>
      </c>
      <c r="J5" s="2">
        <f>Data_location_codes_characteristics[[#This Row],[Depth_to_sediment_layer_HT]]-Data_location_codes_characteristics[[#This Row],[Depth_to_sediment_layer_LT]]</f>
        <v>6</v>
      </c>
    </row>
    <row r="6" spans="1:10" x14ac:dyDescent="0.3">
      <c r="A6" s="1" t="s">
        <v>451</v>
      </c>
      <c r="B6" s="2">
        <v>1</v>
      </c>
      <c r="C6" s="1" t="str">
        <f t="shared" si="0"/>
        <v>0_B_end_1</v>
      </c>
      <c r="D6" s="9">
        <v>13</v>
      </c>
      <c r="E6" s="9">
        <v>28</v>
      </c>
      <c r="F6" s="8">
        <f>Data_location_codes_characteristics[[#This Row],[Depth_to_bottom_of_sediment_layer_LT]]-Data_location_codes_characteristics[[#This Row],[Depth_to_sediment_layer_LT]]</f>
        <v>15</v>
      </c>
      <c r="G6" s="9">
        <v>17</v>
      </c>
      <c r="H6" s="9">
        <v>32</v>
      </c>
      <c r="I6" s="11">
        <f>Data_location_codes_characteristics[[#This Row],[Depth_to_bottom_of_sediment_layer_HT]]-Data_location_codes_characteristics[[#This Row],[Depth_to_sediment_layer_HT]]</f>
        <v>15</v>
      </c>
      <c r="J6" s="2">
        <f>Data_location_codes_characteristics[[#This Row],[Depth_to_sediment_layer_HT]]-Data_location_codes_characteristics[[#This Row],[Depth_to_sediment_layer_LT]]</f>
        <v>4</v>
      </c>
    </row>
    <row r="7" spans="1:10" x14ac:dyDescent="0.3">
      <c r="A7" s="1" t="s">
        <v>451</v>
      </c>
      <c r="B7" s="2">
        <v>2</v>
      </c>
      <c r="C7" s="1" t="str">
        <f t="shared" si="0"/>
        <v>0_B_end_2</v>
      </c>
      <c r="D7" s="7">
        <v>57</v>
      </c>
      <c r="E7" s="7">
        <v>64</v>
      </c>
      <c r="F7" s="7">
        <f>Data_location_codes_characteristics[[#This Row],[Depth_to_bottom_of_sediment_layer_LT]]-Data_location_codes_characteristics[[#This Row],[Depth_to_sediment_layer_LT]]</f>
        <v>7</v>
      </c>
      <c r="G7" s="7">
        <v>59</v>
      </c>
      <c r="H7" s="7">
        <v>66</v>
      </c>
      <c r="I7" s="7">
        <f>Data_location_codes_characteristics[[#This Row],[Depth_to_bottom_of_sediment_layer_HT]]-Data_location_codes_characteristics[[#This Row],[Depth_to_sediment_layer_HT]]</f>
        <v>7</v>
      </c>
      <c r="J7" s="2">
        <f>Data_location_codes_characteristics[[#This Row],[Depth_to_sediment_layer_HT]]-Data_location_codes_characteristics[[#This Row],[Depth_to_sediment_layer_LT]]</f>
        <v>2</v>
      </c>
    </row>
    <row r="8" spans="1:10" x14ac:dyDescent="0.3">
      <c r="A8" s="1" t="s">
        <v>452</v>
      </c>
      <c r="B8" s="2">
        <v>1</v>
      </c>
      <c r="C8" s="1" t="str">
        <f t="shared" si="0"/>
        <v>6_C_1</v>
      </c>
      <c r="D8" s="7">
        <v>23</v>
      </c>
      <c r="E8" s="7">
        <v>28</v>
      </c>
      <c r="F8" s="7">
        <f>Data_location_codes_characteristics[[#This Row],[Depth_to_bottom_of_sediment_layer_LT]]-Data_location_codes_characteristics[[#This Row],[Depth_to_sediment_layer_LT]]</f>
        <v>5</v>
      </c>
      <c r="G8" s="7">
        <v>27</v>
      </c>
      <c r="H8" s="7">
        <v>31</v>
      </c>
      <c r="I8" s="7">
        <f>Data_location_codes_characteristics[[#This Row],[Depth_to_bottom_of_sediment_layer_HT]]-Data_location_codes_characteristics[[#This Row],[Depth_to_sediment_layer_HT]]</f>
        <v>4</v>
      </c>
      <c r="J8" s="2">
        <f>Data_location_codes_characteristics[[#This Row],[Depth_to_sediment_layer_HT]]-Data_location_codes_characteristics[[#This Row],[Depth_to_sediment_layer_LT]]</f>
        <v>4</v>
      </c>
    </row>
    <row r="9" spans="1:10" x14ac:dyDescent="0.3">
      <c r="A9" s="1" t="s">
        <v>452</v>
      </c>
      <c r="B9" s="2">
        <v>2</v>
      </c>
      <c r="C9" s="1" t="str">
        <f t="shared" si="0"/>
        <v>6_C_2</v>
      </c>
      <c r="D9" s="7">
        <v>56</v>
      </c>
      <c r="E9" s="7">
        <v>57</v>
      </c>
      <c r="F9" s="7">
        <f>Data_location_codes_characteristics[[#This Row],[Depth_to_bottom_of_sediment_layer_LT]]-Data_location_codes_characteristics[[#This Row],[Depth_to_sediment_layer_LT]]</f>
        <v>1</v>
      </c>
      <c r="G9" s="7">
        <v>62</v>
      </c>
      <c r="H9" s="7">
        <v>62</v>
      </c>
      <c r="I9" s="7">
        <f>Data_location_codes_characteristics[[#This Row],[Depth_to_bottom_of_sediment_layer_HT]]-Data_location_codes_characteristics[[#This Row],[Depth_to_sediment_layer_HT]]</f>
        <v>0</v>
      </c>
      <c r="J9" s="2">
        <f>Data_location_codes_characteristics[[#This Row],[Depth_to_sediment_layer_HT]]-Data_location_codes_characteristics[[#This Row],[Depth_to_sediment_layer_LT]]</f>
        <v>6</v>
      </c>
    </row>
    <row r="10" spans="1:10" x14ac:dyDescent="0.3">
      <c r="A10" s="1" t="s">
        <v>453</v>
      </c>
      <c r="B10" s="2">
        <v>1</v>
      </c>
      <c r="C10" s="1" t="str">
        <f t="shared" si="0"/>
        <v>6_D_1</v>
      </c>
      <c r="D10" s="7">
        <v>26</v>
      </c>
      <c r="E10" s="7">
        <v>30</v>
      </c>
      <c r="F10" s="7">
        <f>Data_location_codes_characteristics[[#This Row],[Depth_to_bottom_of_sediment_layer_LT]]-Data_location_codes_characteristics[[#This Row],[Depth_to_sediment_layer_LT]]</f>
        <v>4</v>
      </c>
      <c r="G10" s="7">
        <v>29</v>
      </c>
      <c r="H10" s="7">
        <v>37</v>
      </c>
      <c r="I10" s="7">
        <f>Data_location_codes_characteristics[[#This Row],[Depth_to_bottom_of_sediment_layer_HT]]-Data_location_codes_characteristics[[#This Row],[Depth_to_sediment_layer_HT]]</f>
        <v>8</v>
      </c>
      <c r="J10" s="2">
        <f>Data_location_codes_characteristics[[#This Row],[Depth_to_sediment_layer_HT]]-Data_location_codes_characteristics[[#This Row],[Depth_to_sediment_layer_LT]]</f>
        <v>3</v>
      </c>
    </row>
    <row r="11" spans="1:10" x14ac:dyDescent="0.3">
      <c r="A11" s="1" t="s">
        <v>453</v>
      </c>
      <c r="B11" s="2">
        <v>2</v>
      </c>
      <c r="C11" s="1" t="str">
        <f t="shared" si="0"/>
        <v>6_D_2</v>
      </c>
      <c r="D11" s="7">
        <v>40</v>
      </c>
      <c r="E11" s="7">
        <v>44</v>
      </c>
      <c r="F11" s="7">
        <f>Data_location_codes_characteristics[[#This Row],[Depth_to_bottom_of_sediment_layer_LT]]-Data_location_codes_characteristics[[#This Row],[Depth_to_sediment_layer_LT]]</f>
        <v>4</v>
      </c>
      <c r="G11" s="9">
        <v>45</v>
      </c>
      <c r="H11" s="9">
        <v>47</v>
      </c>
      <c r="I11" s="11">
        <f>Data_location_codes_characteristics[[#This Row],[Depth_to_bottom_of_sediment_layer_HT]]-Data_location_codes_characteristics[[#This Row],[Depth_to_sediment_layer_HT]]</f>
        <v>2</v>
      </c>
      <c r="J11" s="2">
        <f>Data_location_codes_characteristics[[#This Row],[Depth_to_sediment_layer_HT]]-Data_location_codes_characteristics[[#This Row],[Depth_to_sediment_layer_LT]]</f>
        <v>5</v>
      </c>
    </row>
    <row r="12" spans="1:10" x14ac:dyDescent="0.3">
      <c r="A12" s="1" t="s">
        <v>454</v>
      </c>
      <c r="B12" s="2">
        <v>1</v>
      </c>
      <c r="C12" s="1" t="str">
        <f t="shared" si="0"/>
        <v>6_E_1</v>
      </c>
      <c r="D12" s="7">
        <v>25</v>
      </c>
      <c r="E12" s="7">
        <v>29</v>
      </c>
      <c r="F12" s="7">
        <f>Data_location_codes_characteristics[[#This Row],[Depth_to_bottom_of_sediment_layer_LT]]-Data_location_codes_characteristics[[#This Row],[Depth_to_sediment_layer_LT]]</f>
        <v>4</v>
      </c>
      <c r="G12" s="7">
        <v>29</v>
      </c>
      <c r="H12" s="7">
        <v>32</v>
      </c>
      <c r="I12" s="7">
        <f>Data_location_codes_characteristics[[#This Row],[Depth_to_bottom_of_sediment_layer_HT]]-Data_location_codes_characteristics[[#This Row],[Depth_to_sediment_layer_HT]]</f>
        <v>3</v>
      </c>
      <c r="J12" s="2">
        <f>Data_location_codes_characteristics[[#This Row],[Depth_to_sediment_layer_HT]]-Data_location_codes_characteristics[[#This Row],[Depth_to_sediment_layer_LT]]</f>
        <v>4</v>
      </c>
    </row>
    <row r="13" spans="1:10" x14ac:dyDescent="0.3">
      <c r="A13" s="1" t="s">
        <v>454</v>
      </c>
      <c r="B13" s="2">
        <v>2</v>
      </c>
      <c r="C13" s="1" t="str">
        <f t="shared" si="0"/>
        <v>6_E_2</v>
      </c>
      <c r="D13" s="9">
        <v>47</v>
      </c>
      <c r="E13" s="9">
        <v>68</v>
      </c>
      <c r="F13" s="8">
        <f>Data_location_codes_characteristics[[#This Row],[Depth_to_bottom_of_sediment_layer_LT]]-Data_location_codes_characteristics[[#This Row],[Depth_to_sediment_layer_LT]]</f>
        <v>21</v>
      </c>
      <c r="G13" s="9">
        <v>53</v>
      </c>
      <c r="H13" s="9">
        <v>73</v>
      </c>
      <c r="I13" s="11">
        <f>Data_location_codes_characteristics[[#This Row],[Depth_to_bottom_of_sediment_layer_HT]]-Data_location_codes_characteristics[[#This Row],[Depth_to_sediment_layer_HT]]</f>
        <v>20</v>
      </c>
      <c r="J13" s="2">
        <f>Data_location_codes_characteristics[[#This Row],[Depth_to_sediment_layer_HT]]-Data_location_codes_characteristics[[#This Row],[Depth_to_sediment_layer_LT]]</f>
        <v>6</v>
      </c>
    </row>
    <row r="14" spans="1:10" x14ac:dyDescent="0.3">
      <c r="A14" s="1" t="s">
        <v>455</v>
      </c>
      <c r="B14" s="2">
        <v>1</v>
      </c>
      <c r="C14" s="1" t="str">
        <f t="shared" si="0"/>
        <v>6_F_1</v>
      </c>
      <c r="D14" s="7">
        <v>57</v>
      </c>
      <c r="E14" s="7">
        <v>64</v>
      </c>
      <c r="F14" s="7">
        <f>Data_location_codes_characteristics[[#This Row],[Depth_to_bottom_of_sediment_layer_LT]]-Data_location_codes_characteristics[[#This Row],[Depth_to_sediment_layer_LT]]</f>
        <v>7</v>
      </c>
      <c r="G14" s="7">
        <v>59</v>
      </c>
      <c r="H14" s="7">
        <v>66</v>
      </c>
      <c r="I14" s="7">
        <f>Data_location_codes_characteristics[[#This Row],[Depth_to_bottom_of_sediment_layer_HT]]-Data_location_codes_characteristics[[#This Row],[Depth_to_sediment_layer_HT]]</f>
        <v>7</v>
      </c>
      <c r="J14" s="2">
        <f>Data_location_codes_characteristics[[#This Row],[Depth_to_sediment_layer_HT]]-Data_location_codes_characteristics[[#This Row],[Depth_to_sediment_layer_LT]]</f>
        <v>2</v>
      </c>
    </row>
    <row r="15" spans="1:10" x14ac:dyDescent="0.3">
      <c r="A15" s="1" t="s">
        <v>455</v>
      </c>
      <c r="B15" s="2">
        <v>2</v>
      </c>
      <c r="C15" s="1" t="str">
        <f t="shared" si="0"/>
        <v>6_F_2</v>
      </c>
      <c r="D15" s="7">
        <v>52</v>
      </c>
      <c r="E15" s="7">
        <v>72</v>
      </c>
      <c r="F15" s="7">
        <f>Data_location_codes_characteristics[[#This Row],[Depth_to_bottom_of_sediment_layer_LT]]-Data_location_codes_characteristics[[#This Row],[Depth_to_sediment_layer_LT]]</f>
        <v>20</v>
      </c>
      <c r="G15" s="7">
        <v>61</v>
      </c>
      <c r="H15" s="7">
        <v>76</v>
      </c>
      <c r="I15" s="7">
        <f>Data_location_codes_characteristics[[#This Row],[Depth_to_bottom_of_sediment_layer_HT]]-Data_location_codes_characteristics[[#This Row],[Depth_to_sediment_layer_HT]]</f>
        <v>15</v>
      </c>
      <c r="J15" s="2">
        <f>Data_location_codes_characteristics[[#This Row],[Depth_to_sediment_layer_HT]]-Data_location_codes_characteristics[[#This Row],[Depth_to_sediment_layer_LT]]</f>
        <v>9</v>
      </c>
    </row>
    <row r="16" spans="1:10" x14ac:dyDescent="0.3">
      <c r="A16" s="1" t="s">
        <v>696</v>
      </c>
      <c r="B16" s="2">
        <v>2</v>
      </c>
      <c r="C16" s="1" t="str">
        <f t="shared" si="0"/>
        <v>6_F_across_2</v>
      </c>
      <c r="D16" s="7">
        <v>87</v>
      </c>
      <c r="E16" s="7">
        <v>104</v>
      </c>
      <c r="F16" s="7">
        <f>Data_location_codes_characteristics[[#This Row],[Depth_to_bottom_of_sediment_layer_LT]]-Data_location_codes_characteristics[[#This Row],[Depth_to_sediment_layer_LT]]</f>
        <v>17</v>
      </c>
      <c r="G16" s="7">
        <v>93</v>
      </c>
      <c r="H16" s="7">
        <v>113</v>
      </c>
      <c r="I16" s="7">
        <f>Data_location_codes_characteristics[[#This Row],[Depth_to_bottom_of_sediment_layer_HT]]-Data_location_codes_characteristics[[#This Row],[Depth_to_sediment_layer_HT]]</f>
        <v>20</v>
      </c>
      <c r="J16" s="2">
        <f>Data_location_codes_characteristics[[#This Row],[Depth_to_sediment_layer_HT]]-Data_location_codes_characteristics[[#This Row],[Depth_to_sediment_layer_LT]]</f>
        <v>6</v>
      </c>
    </row>
    <row r="17" spans="1:10" x14ac:dyDescent="0.3">
      <c r="A17" s="1" t="s">
        <v>456</v>
      </c>
      <c r="B17" s="2">
        <v>1</v>
      </c>
      <c r="C17" s="1" t="str">
        <f t="shared" si="0"/>
        <v>6_G_1</v>
      </c>
      <c r="D17" s="7">
        <v>37</v>
      </c>
      <c r="E17" s="7">
        <v>37</v>
      </c>
      <c r="F17" s="7">
        <f>Data_location_codes_characteristics[[#This Row],[Depth_to_bottom_of_sediment_layer_LT]]-Data_location_codes_characteristics[[#This Row],[Depth_to_sediment_layer_LT]]</f>
        <v>0</v>
      </c>
      <c r="G17" s="7">
        <v>44</v>
      </c>
      <c r="H17" s="7">
        <v>44</v>
      </c>
      <c r="I17" s="7">
        <f>Data_location_codes_characteristics[[#This Row],[Depth_to_bottom_of_sediment_layer_HT]]-Data_location_codes_characteristics[[#This Row],[Depth_to_sediment_layer_HT]]</f>
        <v>0</v>
      </c>
      <c r="J17" s="2">
        <f>Data_location_codes_characteristics[[#This Row],[Depth_to_sediment_layer_HT]]-Data_location_codes_characteristics[[#This Row],[Depth_to_sediment_layer_LT]]</f>
        <v>7</v>
      </c>
    </row>
    <row r="18" spans="1:10" x14ac:dyDescent="0.3">
      <c r="A18" s="1" t="s">
        <v>456</v>
      </c>
      <c r="B18" s="2">
        <v>2</v>
      </c>
      <c r="C18" s="1" t="str">
        <f t="shared" si="0"/>
        <v>6_G_2</v>
      </c>
      <c r="D18" s="9">
        <v>47</v>
      </c>
      <c r="E18" s="9">
        <v>84</v>
      </c>
      <c r="F18" s="7">
        <f>Data_location_codes_characteristics[[#This Row],[Depth_to_bottom_of_sediment_layer_LT]]-Data_location_codes_characteristics[[#This Row],[Depth_to_sediment_layer_LT]]</f>
        <v>37</v>
      </c>
      <c r="G18" s="9">
        <v>52</v>
      </c>
      <c r="H18" s="9">
        <v>88</v>
      </c>
      <c r="I18" s="11">
        <f>Data_location_codes_characteristics[[#This Row],[Depth_to_bottom_of_sediment_layer_HT]]-Data_location_codes_characteristics[[#This Row],[Depth_to_sediment_layer_HT]]</f>
        <v>36</v>
      </c>
      <c r="J18" s="2">
        <f>Data_location_codes_characteristics[[#This Row],[Depth_to_sediment_layer_HT]]-Data_location_codes_characteristics[[#This Row],[Depth_to_sediment_layer_LT]]</f>
        <v>5</v>
      </c>
    </row>
    <row r="19" spans="1:10" x14ac:dyDescent="0.3">
      <c r="A19" s="1" t="s">
        <v>457</v>
      </c>
      <c r="B19" s="2">
        <v>1</v>
      </c>
      <c r="C19" s="1" t="str">
        <f t="shared" si="0"/>
        <v>6_H_1</v>
      </c>
      <c r="D19" s="7">
        <v>46</v>
      </c>
      <c r="E19" s="7">
        <v>57</v>
      </c>
      <c r="F19" s="7">
        <f>Data_location_codes_characteristics[[#This Row],[Depth_to_bottom_of_sediment_layer_LT]]-Data_location_codes_characteristics[[#This Row],[Depth_to_sediment_layer_LT]]</f>
        <v>11</v>
      </c>
      <c r="G19" s="7">
        <v>50</v>
      </c>
      <c r="H19" s="7">
        <v>64</v>
      </c>
      <c r="I19" s="7">
        <f>Data_location_codes_characteristics[[#This Row],[Depth_to_bottom_of_sediment_layer_HT]]-Data_location_codes_characteristics[[#This Row],[Depth_to_sediment_layer_HT]]</f>
        <v>14</v>
      </c>
      <c r="J19" s="2">
        <f>Data_location_codes_characteristics[[#This Row],[Depth_to_sediment_layer_HT]]-Data_location_codes_characteristics[[#This Row],[Depth_to_sediment_layer_LT]]</f>
        <v>4</v>
      </c>
    </row>
    <row r="20" spans="1:10" x14ac:dyDescent="0.3">
      <c r="A20" s="1" t="s">
        <v>457</v>
      </c>
      <c r="B20" s="2">
        <v>2</v>
      </c>
      <c r="C20" s="1" t="str">
        <f t="shared" si="0"/>
        <v>6_H_2</v>
      </c>
      <c r="D20" s="9">
        <v>50</v>
      </c>
      <c r="E20" s="9">
        <v>72</v>
      </c>
      <c r="F20" s="8">
        <f>Data_location_codes_characteristics[[#This Row],[Depth_to_bottom_of_sediment_layer_LT]]-Data_location_codes_characteristics[[#This Row],[Depth_to_sediment_layer_LT]]</f>
        <v>22</v>
      </c>
      <c r="G20" s="9">
        <v>55</v>
      </c>
      <c r="H20" s="9">
        <v>76</v>
      </c>
      <c r="I20" s="11">
        <f>Data_location_codes_characteristics[[#This Row],[Depth_to_bottom_of_sediment_layer_HT]]-Data_location_codes_characteristics[[#This Row],[Depth_to_sediment_layer_HT]]</f>
        <v>21</v>
      </c>
      <c r="J20" s="2">
        <f>Data_location_codes_characteristics[[#This Row],[Depth_to_sediment_layer_HT]]-Data_location_codes_characteristics[[#This Row],[Depth_to_sediment_layer_LT]]</f>
        <v>5</v>
      </c>
    </row>
    <row r="21" spans="1:10" x14ac:dyDescent="0.3">
      <c r="A21" s="1" t="s">
        <v>458</v>
      </c>
      <c r="B21" s="2">
        <v>1</v>
      </c>
      <c r="C21" s="1" t="str">
        <f t="shared" si="0"/>
        <v>8_C_1</v>
      </c>
      <c r="D21" s="9">
        <v>13</v>
      </c>
      <c r="E21" s="9">
        <v>28</v>
      </c>
      <c r="F21" s="8">
        <f>Data_location_codes_characteristics[[#This Row],[Depth_to_bottom_of_sediment_layer_LT]]-Data_location_codes_characteristics[[#This Row],[Depth_to_sediment_layer_LT]]</f>
        <v>15</v>
      </c>
      <c r="G21" s="9">
        <v>17</v>
      </c>
      <c r="H21" s="9">
        <v>32</v>
      </c>
      <c r="I21" s="11">
        <f>Data_location_codes_characteristics[[#This Row],[Depth_to_bottom_of_sediment_layer_HT]]-Data_location_codes_characteristics[[#This Row],[Depth_to_sediment_layer_HT]]</f>
        <v>15</v>
      </c>
      <c r="J21" s="2">
        <f>Data_location_codes_characteristics[[#This Row],[Depth_to_sediment_layer_HT]]-Data_location_codes_characteristics[[#This Row],[Depth_to_sediment_layer_LT]]</f>
        <v>4</v>
      </c>
    </row>
    <row r="22" spans="1:10" x14ac:dyDescent="0.3">
      <c r="A22" s="1" t="s">
        <v>458</v>
      </c>
      <c r="B22" s="2">
        <v>2</v>
      </c>
      <c r="C22" s="1" t="str">
        <f t="shared" si="0"/>
        <v>8_C_2</v>
      </c>
      <c r="D22" s="7">
        <v>57</v>
      </c>
      <c r="E22" s="7">
        <v>64</v>
      </c>
      <c r="F22" s="7">
        <f>Data_location_codes_characteristics[[#This Row],[Depth_to_bottom_of_sediment_layer_LT]]-Data_location_codes_characteristics[[#This Row],[Depth_to_sediment_layer_LT]]</f>
        <v>7</v>
      </c>
      <c r="G22" s="7">
        <v>59</v>
      </c>
      <c r="H22" s="7">
        <v>66</v>
      </c>
      <c r="I22" s="7">
        <f>Data_location_codes_characteristics[[#This Row],[Depth_to_bottom_of_sediment_layer_HT]]-Data_location_codes_characteristics[[#This Row],[Depth_to_sediment_layer_HT]]</f>
        <v>7</v>
      </c>
      <c r="J22" s="2">
        <f>Data_location_codes_characteristics[[#This Row],[Depth_to_sediment_layer_HT]]-Data_location_codes_characteristics[[#This Row],[Depth_to_sediment_layer_LT]]</f>
        <v>2</v>
      </c>
    </row>
    <row r="23" spans="1:10" x14ac:dyDescent="0.3">
      <c r="A23" s="1" t="s">
        <v>459</v>
      </c>
      <c r="B23" s="2">
        <v>1</v>
      </c>
      <c r="C23" s="1" t="str">
        <f t="shared" si="0"/>
        <v>8_D_1</v>
      </c>
      <c r="D23" s="9">
        <v>57</v>
      </c>
      <c r="E23" s="9">
        <v>64</v>
      </c>
      <c r="F23" s="8">
        <f>Data_location_codes_characteristics[[#This Row],[Depth_to_bottom_of_sediment_layer_LT]]-Data_location_codes_characteristics[[#This Row],[Depth_to_sediment_layer_LT]]</f>
        <v>7</v>
      </c>
      <c r="G23" s="8">
        <v>59</v>
      </c>
      <c r="H23" s="9">
        <v>66</v>
      </c>
      <c r="I23" s="11">
        <f>Data_location_codes_characteristics[[#This Row],[Depth_to_bottom_of_sediment_layer_HT]]-Data_location_codes_characteristics[[#This Row],[Depth_to_sediment_layer_HT]]</f>
        <v>7</v>
      </c>
      <c r="J23" s="2">
        <f>Data_location_codes_characteristics[[#This Row],[Depth_to_sediment_layer_HT]]-Data_location_codes_characteristics[[#This Row],[Depth_to_sediment_layer_LT]]</f>
        <v>2</v>
      </c>
    </row>
    <row r="24" spans="1:10" x14ac:dyDescent="0.3">
      <c r="A24" s="1" t="s">
        <v>459</v>
      </c>
      <c r="B24" s="2">
        <v>2</v>
      </c>
      <c r="C24" s="1" t="str">
        <f t="shared" si="0"/>
        <v>8_D_2</v>
      </c>
      <c r="D24" s="7">
        <v>68</v>
      </c>
      <c r="E24" s="7">
        <v>74</v>
      </c>
      <c r="F24" s="7">
        <f>Data_location_codes_characteristics[[#This Row],[Depth_to_bottom_of_sediment_layer_LT]]-Data_location_codes_characteristics[[#This Row],[Depth_to_sediment_layer_LT]]</f>
        <v>6</v>
      </c>
      <c r="G24" s="7">
        <v>73</v>
      </c>
      <c r="H24" s="7">
        <v>79</v>
      </c>
      <c r="I24" s="7">
        <f>Data_location_codes_characteristics[[#This Row],[Depth_to_bottom_of_sediment_layer_HT]]-Data_location_codes_characteristics[[#This Row],[Depth_to_sediment_layer_HT]]</f>
        <v>6</v>
      </c>
      <c r="J24" s="2">
        <f>Data_location_codes_characteristics[[#This Row],[Depth_to_sediment_layer_HT]]-Data_location_codes_characteristics[[#This Row],[Depth_to_sediment_layer_LT]]</f>
        <v>5</v>
      </c>
    </row>
    <row r="25" spans="1:10" x14ac:dyDescent="0.3">
      <c r="A25" s="1" t="s">
        <v>460</v>
      </c>
      <c r="B25" s="2">
        <v>1</v>
      </c>
      <c r="C25" s="1" t="str">
        <f t="shared" si="0"/>
        <v>8_E_1</v>
      </c>
      <c r="D25" s="7">
        <v>23</v>
      </c>
      <c r="E25" s="7">
        <v>28</v>
      </c>
      <c r="F25" s="7">
        <f>Data_location_codes_characteristics[[#This Row],[Depth_to_bottom_of_sediment_layer_LT]]-Data_location_codes_characteristics[[#This Row],[Depth_to_sediment_layer_LT]]</f>
        <v>5</v>
      </c>
      <c r="G25" s="7">
        <v>27</v>
      </c>
      <c r="H25" s="7">
        <v>31</v>
      </c>
      <c r="I25" s="7">
        <f>Data_location_codes_characteristics[[#This Row],[Depth_to_bottom_of_sediment_layer_HT]]-Data_location_codes_characteristics[[#This Row],[Depth_to_sediment_layer_HT]]</f>
        <v>4</v>
      </c>
      <c r="J25" s="2">
        <f>Data_location_codes_characteristics[[#This Row],[Depth_to_sediment_layer_HT]]-Data_location_codes_characteristics[[#This Row],[Depth_to_sediment_layer_LT]]</f>
        <v>4</v>
      </c>
    </row>
    <row r="26" spans="1:10" x14ac:dyDescent="0.3">
      <c r="A26" s="1" t="s">
        <v>460</v>
      </c>
      <c r="B26" s="2">
        <v>2</v>
      </c>
      <c r="C26" s="1" t="str">
        <f t="shared" si="0"/>
        <v>8_E_2</v>
      </c>
      <c r="D26" s="7">
        <v>66</v>
      </c>
      <c r="E26" s="7">
        <v>81</v>
      </c>
      <c r="F26" s="7">
        <f>Data_location_codes_characteristics[[#This Row],[Depth_to_bottom_of_sediment_layer_LT]]-Data_location_codes_characteristics[[#This Row],[Depth_to_sediment_layer_LT]]</f>
        <v>15</v>
      </c>
      <c r="G26" s="7">
        <v>73</v>
      </c>
      <c r="H26" s="7">
        <v>94</v>
      </c>
      <c r="I26" s="7">
        <f>Data_location_codes_characteristics[[#This Row],[Depth_to_bottom_of_sediment_layer_HT]]-Data_location_codes_characteristics[[#This Row],[Depth_to_sediment_layer_HT]]</f>
        <v>21</v>
      </c>
      <c r="J26" s="2">
        <f>Data_location_codes_characteristics[[#This Row],[Depth_to_sediment_layer_HT]]-Data_location_codes_characteristics[[#This Row],[Depth_to_sediment_layer_LT]]</f>
        <v>7</v>
      </c>
    </row>
    <row r="27" spans="1:10" x14ac:dyDescent="0.3">
      <c r="A27" s="1" t="s">
        <v>461</v>
      </c>
      <c r="B27" s="2">
        <v>1</v>
      </c>
      <c r="C27" s="1" t="str">
        <f t="shared" si="0"/>
        <v>8_F_1</v>
      </c>
      <c r="D27" s="7">
        <v>57</v>
      </c>
      <c r="E27" s="7">
        <v>64</v>
      </c>
      <c r="F27" s="7">
        <f>Data_location_codes_characteristics[[#This Row],[Depth_to_bottom_of_sediment_layer_LT]]-Data_location_codes_characteristics[[#This Row],[Depth_to_sediment_layer_LT]]</f>
        <v>7</v>
      </c>
      <c r="G27" s="7">
        <v>59</v>
      </c>
      <c r="H27" s="7">
        <v>66</v>
      </c>
      <c r="I27" s="7">
        <f>Data_location_codes_characteristics[[#This Row],[Depth_to_bottom_of_sediment_layer_HT]]-Data_location_codes_characteristics[[#This Row],[Depth_to_sediment_layer_HT]]</f>
        <v>7</v>
      </c>
      <c r="J27" s="2">
        <f>Data_location_codes_characteristics[[#This Row],[Depth_to_sediment_layer_HT]]-Data_location_codes_characteristics[[#This Row],[Depth_to_sediment_layer_LT]]</f>
        <v>2</v>
      </c>
    </row>
    <row r="28" spans="1:10" x14ac:dyDescent="0.3">
      <c r="A28" s="1" t="s">
        <v>461</v>
      </c>
      <c r="B28" s="2">
        <v>2</v>
      </c>
      <c r="C28" s="1" t="str">
        <f t="shared" si="0"/>
        <v>8_F_2</v>
      </c>
      <c r="D28" s="7">
        <v>71</v>
      </c>
      <c r="E28" s="7">
        <v>78</v>
      </c>
      <c r="F28" s="7">
        <f>Data_location_codes_characteristics[[#This Row],[Depth_to_bottom_of_sediment_layer_LT]]-Data_location_codes_characteristics[[#This Row],[Depth_to_sediment_layer_LT]]</f>
        <v>7</v>
      </c>
      <c r="G28" s="7">
        <v>76</v>
      </c>
      <c r="H28" s="7">
        <v>80</v>
      </c>
      <c r="I28" s="7">
        <f>Data_location_codes_characteristics[[#This Row],[Depth_to_bottom_of_sediment_layer_HT]]-Data_location_codes_characteristics[[#This Row],[Depth_to_sediment_layer_HT]]</f>
        <v>4</v>
      </c>
      <c r="J28" s="2">
        <f>Data_location_codes_characteristics[[#This Row],[Depth_to_sediment_layer_HT]]-Data_location_codes_characteristics[[#This Row],[Depth_to_sediment_layer_LT]]</f>
        <v>5</v>
      </c>
    </row>
    <row r="29" spans="1:10" x14ac:dyDescent="0.3">
      <c r="A29" s="1" t="s">
        <v>697</v>
      </c>
      <c r="B29" s="2">
        <v>2</v>
      </c>
      <c r="C29" s="1" t="str">
        <f t="shared" si="0"/>
        <v>8_F_across_2</v>
      </c>
      <c r="D29" s="7">
        <v>92</v>
      </c>
      <c r="E29" s="7">
        <v>121</v>
      </c>
      <c r="F29" s="7">
        <f>Data_location_codes_characteristics[[#This Row],[Depth_to_bottom_of_sediment_layer_LT]]-Data_location_codes_characteristics[[#This Row],[Depth_to_sediment_layer_LT]]</f>
        <v>29</v>
      </c>
      <c r="G29" s="7">
        <v>98</v>
      </c>
      <c r="H29" s="7">
        <v>129</v>
      </c>
      <c r="I29" s="7">
        <f>Data_location_codes_characteristics[[#This Row],[Depth_to_bottom_of_sediment_layer_HT]]-Data_location_codes_characteristics[[#This Row],[Depth_to_sediment_layer_HT]]</f>
        <v>31</v>
      </c>
      <c r="J29" s="2">
        <f>Data_location_codes_characteristics[[#This Row],[Depth_to_sediment_layer_HT]]-Data_location_codes_characteristics[[#This Row],[Depth_to_sediment_layer_LT]]</f>
        <v>6</v>
      </c>
    </row>
    <row r="30" spans="1:10" x14ac:dyDescent="0.3">
      <c r="A30" s="1" t="s">
        <v>462</v>
      </c>
      <c r="B30" s="2">
        <v>1</v>
      </c>
      <c r="C30" s="1" t="str">
        <f t="shared" si="0"/>
        <v>8_G_1</v>
      </c>
      <c r="D30" s="7">
        <v>59</v>
      </c>
      <c r="E30" s="7">
        <v>59</v>
      </c>
      <c r="F30" s="7">
        <f>Data_location_codes_characteristics[[#This Row],[Depth_to_bottom_of_sediment_layer_LT]]-Data_location_codes_characteristics[[#This Row],[Depth_to_sediment_layer_LT]]</f>
        <v>0</v>
      </c>
      <c r="G30" s="7">
        <v>66</v>
      </c>
      <c r="H30" s="7">
        <v>67</v>
      </c>
      <c r="I30" s="7">
        <f>Data_location_codes_characteristics[[#This Row],[Depth_to_bottom_of_sediment_layer_HT]]-Data_location_codes_characteristics[[#This Row],[Depth_to_sediment_layer_HT]]</f>
        <v>1</v>
      </c>
      <c r="J30" s="2">
        <f>Data_location_codes_characteristics[[#This Row],[Depth_to_sediment_layer_HT]]-Data_location_codes_characteristics[[#This Row],[Depth_to_sediment_layer_LT]]</f>
        <v>7</v>
      </c>
    </row>
    <row r="31" spans="1:10" x14ac:dyDescent="0.3">
      <c r="A31" s="1" t="s">
        <v>462</v>
      </c>
      <c r="B31" s="2">
        <v>2</v>
      </c>
      <c r="C31" s="1" t="str">
        <f t="shared" si="0"/>
        <v>8_G_2</v>
      </c>
      <c r="D31" s="7">
        <v>59</v>
      </c>
      <c r="E31" s="7">
        <v>59</v>
      </c>
      <c r="F31" s="7">
        <f>Data_location_codes_characteristics[[#This Row],[Depth_to_bottom_of_sediment_layer_LT]]-Data_location_codes_characteristics[[#This Row],[Depth_to_sediment_layer_LT]]</f>
        <v>0</v>
      </c>
      <c r="G31" s="7">
        <v>63</v>
      </c>
      <c r="H31" s="7">
        <v>66</v>
      </c>
      <c r="I31" s="7">
        <f>Data_location_codes_characteristics[[#This Row],[Depth_to_bottom_of_sediment_layer_HT]]-Data_location_codes_characteristics[[#This Row],[Depth_to_sediment_layer_HT]]</f>
        <v>3</v>
      </c>
      <c r="J31" s="2">
        <f>Data_location_codes_characteristics[[#This Row],[Depth_to_sediment_layer_HT]]-Data_location_codes_characteristics[[#This Row],[Depth_to_sediment_layer_LT]]</f>
        <v>4</v>
      </c>
    </row>
    <row r="32" spans="1:10" x14ac:dyDescent="0.3">
      <c r="A32" s="1" t="s">
        <v>463</v>
      </c>
      <c r="B32" s="2">
        <v>1</v>
      </c>
      <c r="C32" s="1" t="str">
        <f t="shared" si="0"/>
        <v>8_H_1</v>
      </c>
      <c r="D32" s="7">
        <v>59</v>
      </c>
      <c r="E32" s="7">
        <v>63</v>
      </c>
      <c r="F32" s="7">
        <f>Data_location_codes_characteristics[[#This Row],[Depth_to_bottom_of_sediment_layer_LT]]-Data_location_codes_characteristics[[#This Row],[Depth_to_sediment_layer_LT]]</f>
        <v>4</v>
      </c>
      <c r="G32" s="7">
        <v>66</v>
      </c>
      <c r="H32" s="7">
        <v>71</v>
      </c>
      <c r="I32" s="7">
        <f>Data_location_codes_characteristics[[#This Row],[Depth_to_bottom_of_sediment_layer_HT]]-Data_location_codes_characteristics[[#This Row],[Depth_to_sediment_layer_HT]]</f>
        <v>5</v>
      </c>
      <c r="J32" s="2">
        <f>Data_location_codes_characteristics[[#This Row],[Depth_to_sediment_layer_HT]]-Data_location_codes_characteristics[[#This Row],[Depth_to_sediment_layer_LT]]</f>
        <v>7</v>
      </c>
    </row>
    <row r="33" spans="1:10" x14ac:dyDescent="0.3">
      <c r="A33" s="1" t="s">
        <v>463</v>
      </c>
      <c r="B33" s="2">
        <v>2</v>
      </c>
      <c r="C33" s="1" t="str">
        <f t="shared" si="0"/>
        <v>8_H_2</v>
      </c>
      <c r="D33" s="7">
        <v>57</v>
      </c>
      <c r="E33" s="7">
        <v>68</v>
      </c>
      <c r="F33" s="7">
        <f>Data_location_codes_characteristics[[#This Row],[Depth_to_bottom_of_sediment_layer_LT]]-Data_location_codes_characteristics[[#This Row],[Depth_to_sediment_layer_LT]]</f>
        <v>11</v>
      </c>
      <c r="G33" s="7">
        <v>65</v>
      </c>
      <c r="H33" s="7">
        <v>73</v>
      </c>
      <c r="I33" s="7">
        <f>Data_location_codes_characteristics[[#This Row],[Depth_to_bottom_of_sediment_layer_HT]]-Data_location_codes_characteristics[[#This Row],[Depth_to_sediment_layer_HT]]</f>
        <v>8</v>
      </c>
      <c r="J33" s="2">
        <f>Data_location_codes_characteristics[[#This Row],[Depth_to_sediment_layer_HT]]-Data_location_codes_characteristics[[#This Row],[Depth_to_sediment_layer_LT]]</f>
        <v>8</v>
      </c>
    </row>
    <row r="34" spans="1:10" x14ac:dyDescent="0.3">
      <c r="A34" s="1" t="s">
        <v>464</v>
      </c>
      <c r="B34" s="2">
        <v>1</v>
      </c>
      <c r="C34" s="1" t="str">
        <f t="shared" si="0"/>
        <v>14_I_1</v>
      </c>
      <c r="D34" s="7">
        <v>59</v>
      </c>
      <c r="E34" s="7">
        <v>63</v>
      </c>
      <c r="F34" s="7">
        <f>Data_location_codes_characteristics[[#This Row],[Depth_to_bottom_of_sediment_layer_LT]]-Data_location_codes_characteristics[[#This Row],[Depth_to_sediment_layer_LT]]</f>
        <v>4</v>
      </c>
      <c r="G34" s="7">
        <v>66</v>
      </c>
      <c r="H34" s="7">
        <v>68</v>
      </c>
      <c r="I34" s="7">
        <f>Data_location_codes_characteristics[[#This Row],[Depth_to_bottom_of_sediment_layer_HT]]-Data_location_codes_characteristics[[#This Row],[Depth_to_sediment_layer_HT]]</f>
        <v>2</v>
      </c>
      <c r="J34" s="2">
        <f>Data_location_codes_characteristics[[#This Row],[Depth_to_sediment_layer_HT]]-Data_location_codes_characteristics[[#This Row],[Depth_to_sediment_layer_LT]]</f>
        <v>7</v>
      </c>
    </row>
    <row r="35" spans="1:10" x14ac:dyDescent="0.3">
      <c r="A35" s="1" t="s">
        <v>464</v>
      </c>
      <c r="B35" s="2">
        <v>2</v>
      </c>
      <c r="C35" s="1" t="str">
        <f t="shared" si="0"/>
        <v>14_I_2</v>
      </c>
      <c r="D35" s="7">
        <v>73</v>
      </c>
      <c r="E35" s="7">
        <v>78</v>
      </c>
      <c r="F35" s="7">
        <f>Data_location_codes_characteristics[[#This Row],[Depth_to_bottom_of_sediment_layer_LT]]-Data_location_codes_characteristics[[#This Row],[Depth_to_sediment_layer_LT]]</f>
        <v>5</v>
      </c>
      <c r="G35" s="7">
        <v>78</v>
      </c>
      <c r="H35" s="7">
        <v>83</v>
      </c>
      <c r="I35" s="7">
        <f>Data_location_codes_characteristics[[#This Row],[Depth_to_bottom_of_sediment_layer_HT]]-Data_location_codes_characteristics[[#This Row],[Depth_to_sediment_layer_HT]]</f>
        <v>5</v>
      </c>
      <c r="J35" s="2">
        <f>Data_location_codes_characteristics[[#This Row],[Depth_to_sediment_layer_HT]]-Data_location_codes_characteristics[[#This Row],[Depth_to_sediment_layer_LT]]</f>
        <v>5</v>
      </c>
    </row>
    <row r="36" spans="1:10" x14ac:dyDescent="0.3">
      <c r="A36" s="1" t="s">
        <v>465</v>
      </c>
      <c r="B36" s="2">
        <v>1</v>
      </c>
      <c r="C36" s="1" t="str">
        <f t="shared" si="0"/>
        <v>14_J_1</v>
      </c>
      <c r="D36" s="7">
        <v>59</v>
      </c>
      <c r="E36" s="7">
        <v>72</v>
      </c>
      <c r="F36" s="7">
        <f>Data_location_codes_characteristics[[#This Row],[Depth_to_bottom_of_sediment_layer_LT]]-Data_location_codes_characteristics[[#This Row],[Depth_to_sediment_layer_LT]]</f>
        <v>13</v>
      </c>
      <c r="G36" s="7">
        <v>66</v>
      </c>
      <c r="H36" s="7">
        <v>81</v>
      </c>
      <c r="I36" s="7">
        <f>Data_location_codes_characteristics[[#This Row],[Depth_to_bottom_of_sediment_layer_HT]]-Data_location_codes_characteristics[[#This Row],[Depth_to_sediment_layer_HT]]</f>
        <v>15</v>
      </c>
      <c r="J36" s="2">
        <f>Data_location_codes_characteristics[[#This Row],[Depth_to_sediment_layer_HT]]-Data_location_codes_characteristics[[#This Row],[Depth_to_sediment_layer_LT]]</f>
        <v>7</v>
      </c>
    </row>
    <row r="37" spans="1:10" x14ac:dyDescent="0.3">
      <c r="A37" s="1" t="s">
        <v>465</v>
      </c>
      <c r="B37" s="2">
        <v>2</v>
      </c>
      <c r="C37" s="1" t="str">
        <f t="shared" si="0"/>
        <v>14_J_2</v>
      </c>
      <c r="D37" s="7">
        <v>98</v>
      </c>
      <c r="E37" s="7">
        <v>104</v>
      </c>
      <c r="F37" s="7">
        <f>Data_location_codes_characteristics[[#This Row],[Depth_to_bottom_of_sediment_layer_LT]]-Data_location_codes_characteristics[[#This Row],[Depth_to_sediment_layer_LT]]</f>
        <v>6</v>
      </c>
      <c r="G37" s="7">
        <v>109</v>
      </c>
      <c r="H37" s="7">
        <v>116</v>
      </c>
      <c r="I37" s="7">
        <f>Data_location_codes_characteristics[[#This Row],[Depth_to_bottom_of_sediment_layer_HT]]-Data_location_codes_characteristics[[#This Row],[Depth_to_sediment_layer_HT]]</f>
        <v>7</v>
      </c>
      <c r="J37" s="2">
        <f>Data_location_codes_characteristics[[#This Row],[Depth_to_sediment_layer_HT]]-Data_location_codes_characteristics[[#This Row],[Depth_to_sediment_layer_LT]]</f>
        <v>11</v>
      </c>
    </row>
    <row r="38" spans="1:10" x14ac:dyDescent="0.3">
      <c r="A38" s="1" t="s">
        <v>466</v>
      </c>
      <c r="B38" s="2">
        <v>1</v>
      </c>
      <c r="C38" s="1" t="str">
        <f t="shared" si="0"/>
        <v>14_K_1</v>
      </c>
      <c r="D38" s="7">
        <v>37</v>
      </c>
      <c r="E38" s="7">
        <v>37</v>
      </c>
      <c r="F38" s="7">
        <f>Data_location_codes_characteristics[[#This Row],[Depth_to_bottom_of_sediment_layer_LT]]-Data_location_codes_characteristics[[#This Row],[Depth_to_sediment_layer_LT]]</f>
        <v>0</v>
      </c>
      <c r="G38" s="7">
        <v>42</v>
      </c>
      <c r="H38" s="7">
        <v>43</v>
      </c>
      <c r="I38" s="7">
        <f>Data_location_codes_characteristics[[#This Row],[Depth_to_bottom_of_sediment_layer_HT]]-Data_location_codes_characteristics[[#This Row],[Depth_to_sediment_layer_HT]]</f>
        <v>1</v>
      </c>
      <c r="J38" s="2">
        <f>Data_location_codes_characteristics[[#This Row],[Depth_to_sediment_layer_HT]]-Data_location_codes_characteristics[[#This Row],[Depth_to_sediment_layer_LT]]</f>
        <v>5</v>
      </c>
    </row>
    <row r="39" spans="1:10" x14ac:dyDescent="0.3">
      <c r="A39" s="1" t="s">
        <v>466</v>
      </c>
      <c r="B39" s="2">
        <v>2</v>
      </c>
      <c r="C39" s="1" t="str">
        <f t="shared" si="0"/>
        <v>14_K_2</v>
      </c>
      <c r="D39" s="7">
        <v>37</v>
      </c>
      <c r="E39" s="7">
        <v>37</v>
      </c>
      <c r="F39" s="7">
        <f>Data_location_codes_characteristics[[#This Row],[Depth_to_bottom_of_sediment_layer_LT]]-Data_location_codes_characteristics[[#This Row],[Depth_to_sediment_layer_LT]]</f>
        <v>0</v>
      </c>
      <c r="G39" s="7">
        <v>42</v>
      </c>
      <c r="H39" s="7">
        <v>43</v>
      </c>
      <c r="I39" s="7">
        <f>Data_location_codes_characteristics[[#This Row],[Depth_to_bottom_of_sediment_layer_HT]]-Data_location_codes_characteristics[[#This Row],[Depth_to_sediment_layer_HT]]</f>
        <v>1</v>
      </c>
      <c r="J39" s="2">
        <f>Data_location_codes_characteristics[[#This Row],[Depth_to_sediment_layer_HT]]-Data_location_codes_characteristics[[#This Row],[Depth_to_sediment_layer_LT]]</f>
        <v>5</v>
      </c>
    </row>
    <row r="40" spans="1:10" x14ac:dyDescent="0.3">
      <c r="A40" s="1" t="s">
        <v>467</v>
      </c>
      <c r="B40" s="2">
        <v>1</v>
      </c>
      <c r="C40" s="1" t="str">
        <f t="shared" si="0"/>
        <v>15_I_1</v>
      </c>
      <c r="D40" s="7">
        <v>37</v>
      </c>
      <c r="E40" s="7">
        <v>37</v>
      </c>
      <c r="F40" s="7">
        <f>Data_location_codes_characteristics[[#This Row],[Depth_to_bottom_of_sediment_layer_LT]]-Data_location_codes_characteristics[[#This Row],[Depth_to_sediment_layer_LT]]</f>
        <v>0</v>
      </c>
      <c r="G40" s="7">
        <v>44</v>
      </c>
      <c r="H40" s="7">
        <v>44</v>
      </c>
      <c r="I40" s="7">
        <f>Data_location_codes_characteristics[[#This Row],[Depth_to_bottom_of_sediment_layer_HT]]-Data_location_codes_characteristics[[#This Row],[Depth_to_sediment_layer_HT]]</f>
        <v>0</v>
      </c>
      <c r="J40" s="2">
        <f>Data_location_codes_characteristics[[#This Row],[Depth_to_sediment_layer_HT]]-Data_location_codes_characteristics[[#This Row],[Depth_to_sediment_layer_LT]]</f>
        <v>7</v>
      </c>
    </row>
    <row r="41" spans="1:10" x14ac:dyDescent="0.3">
      <c r="A41" s="1" t="s">
        <v>467</v>
      </c>
      <c r="B41" s="2">
        <v>2</v>
      </c>
      <c r="C41" s="1" t="str">
        <f t="shared" si="0"/>
        <v>15_I_2</v>
      </c>
      <c r="D41" s="7">
        <v>77</v>
      </c>
      <c r="E41" s="7">
        <v>88</v>
      </c>
      <c r="F41" s="7">
        <f>Data_location_codes_characteristics[[#This Row],[Depth_to_bottom_of_sediment_layer_LT]]-Data_location_codes_characteristics[[#This Row],[Depth_to_sediment_layer_LT]]</f>
        <v>11</v>
      </c>
      <c r="G41" s="7">
        <v>78</v>
      </c>
      <c r="H41" s="7">
        <v>78</v>
      </c>
      <c r="I41" s="7">
        <f>Data_location_codes_characteristics[[#This Row],[Depth_to_bottom_of_sediment_layer_HT]]-Data_location_codes_characteristics[[#This Row],[Depth_to_sediment_layer_HT]]</f>
        <v>0</v>
      </c>
      <c r="J41" s="2">
        <f>Data_location_codes_characteristics[[#This Row],[Depth_to_sediment_layer_HT]]-Data_location_codes_characteristics[[#This Row],[Depth_to_sediment_layer_LT]]</f>
        <v>1</v>
      </c>
    </row>
    <row r="42" spans="1:10" x14ac:dyDescent="0.3">
      <c r="A42" s="1" t="s">
        <v>468</v>
      </c>
      <c r="B42" s="2">
        <v>1</v>
      </c>
      <c r="C42" s="1" t="str">
        <f t="shared" si="0"/>
        <v>15_J_1</v>
      </c>
      <c r="D42" s="7">
        <v>59</v>
      </c>
      <c r="E42" s="7">
        <v>68</v>
      </c>
      <c r="F42" s="7">
        <f>Data_location_codes_characteristics[[#This Row],[Depth_to_bottom_of_sediment_layer_LT]]-Data_location_codes_characteristics[[#This Row],[Depth_to_sediment_layer_LT]]</f>
        <v>9</v>
      </c>
      <c r="G42" s="7">
        <v>66</v>
      </c>
      <c r="H42" s="7">
        <v>79</v>
      </c>
      <c r="I42" s="7">
        <f>Data_location_codes_characteristics[[#This Row],[Depth_to_bottom_of_sediment_layer_HT]]-Data_location_codes_characteristics[[#This Row],[Depth_to_sediment_layer_HT]]</f>
        <v>13</v>
      </c>
      <c r="J42" s="2">
        <f>Data_location_codes_characteristics[[#This Row],[Depth_to_sediment_layer_HT]]-Data_location_codes_characteristics[[#This Row],[Depth_to_sediment_layer_LT]]</f>
        <v>7</v>
      </c>
    </row>
    <row r="43" spans="1:10" x14ac:dyDescent="0.3">
      <c r="A43" s="1" t="s">
        <v>468</v>
      </c>
      <c r="B43" s="2">
        <v>2</v>
      </c>
      <c r="C43" s="1" t="str">
        <f t="shared" si="0"/>
        <v>15_J_2</v>
      </c>
      <c r="D43" s="7">
        <v>93</v>
      </c>
      <c r="E43" s="7">
        <v>98</v>
      </c>
      <c r="F43" s="7">
        <f>Data_location_codes_characteristics[[#This Row],[Depth_to_bottom_of_sediment_layer_LT]]-Data_location_codes_characteristics[[#This Row],[Depth_to_sediment_layer_LT]]</f>
        <v>5</v>
      </c>
      <c r="G43" s="7">
        <v>100</v>
      </c>
      <c r="H43" s="7">
        <v>115</v>
      </c>
      <c r="I43" s="7">
        <f>Data_location_codes_characteristics[[#This Row],[Depth_to_bottom_of_sediment_layer_HT]]-Data_location_codes_characteristics[[#This Row],[Depth_to_sediment_layer_HT]]</f>
        <v>15</v>
      </c>
      <c r="J43" s="2">
        <f>Data_location_codes_characteristics[[#This Row],[Depth_to_sediment_layer_HT]]-Data_location_codes_characteristics[[#This Row],[Depth_to_sediment_layer_LT]]</f>
        <v>7</v>
      </c>
    </row>
    <row r="44" spans="1:10" x14ac:dyDescent="0.3">
      <c r="A44" s="1" t="s">
        <v>469</v>
      </c>
      <c r="B44" s="2">
        <v>1</v>
      </c>
      <c r="C44" s="1" t="str">
        <f t="shared" si="0"/>
        <v>15_K_1</v>
      </c>
      <c r="D44" s="10">
        <v>59</v>
      </c>
      <c r="E44" s="10">
        <v>78</v>
      </c>
      <c r="F44" s="12">
        <f>Data_location_codes_characteristics[[#This Row],[Depth_to_bottom_of_sediment_layer_LT]]-Data_location_codes_characteristics[[#This Row],[Depth_to_sediment_layer_LT]]</f>
        <v>19</v>
      </c>
      <c r="G44" s="10">
        <v>66</v>
      </c>
      <c r="H44" s="10">
        <v>87</v>
      </c>
      <c r="I44" s="12">
        <f>Data_location_codes_characteristics[[#This Row],[Depth_to_bottom_of_sediment_layer_HT]]-Data_location_codes_characteristics[[#This Row],[Depth_to_sediment_layer_HT]]</f>
        <v>21</v>
      </c>
      <c r="J44" s="2">
        <f>Data_location_codes_characteristics[[#This Row],[Depth_to_sediment_layer_HT]]-Data_location_codes_characteristics[[#This Row],[Depth_to_sediment_layer_LT]]</f>
        <v>7</v>
      </c>
    </row>
    <row r="45" spans="1:10" x14ac:dyDescent="0.3">
      <c r="A45" s="1" t="s">
        <v>469</v>
      </c>
      <c r="B45" s="2">
        <v>2</v>
      </c>
      <c r="C45" s="1" t="str">
        <f t="shared" si="0"/>
        <v>15_K_2</v>
      </c>
      <c r="D45" s="10">
        <v>58</v>
      </c>
      <c r="E45" s="10">
        <v>59</v>
      </c>
      <c r="F45" s="12">
        <f>Data_location_codes_characteristics[[#This Row],[Depth_to_bottom_of_sediment_layer_LT]]-Data_location_codes_characteristics[[#This Row],[Depth_to_sediment_layer_LT]]</f>
        <v>1</v>
      </c>
      <c r="G45" s="10">
        <v>62</v>
      </c>
      <c r="H45" s="10">
        <v>64</v>
      </c>
      <c r="I45" s="12">
        <f>Data_location_codes_characteristics[[#This Row],[Depth_to_bottom_of_sediment_layer_HT]]-Data_location_codes_characteristics[[#This Row],[Depth_to_sediment_layer_HT]]</f>
        <v>2</v>
      </c>
      <c r="J45" s="2">
        <f>Data_location_codes_characteristics[[#This Row],[Depth_to_sediment_layer_HT]]-Data_location_codes_characteristics[[#This Row],[Depth_to_sediment_layer_LT]]</f>
        <v>4</v>
      </c>
    </row>
    <row r="47" spans="1:10" x14ac:dyDescent="0.3">
      <c r="J47" s="1">
        <f>AVERAGE(Data_location_codes_characteristics[Tidal_difference_at_location])</f>
        <v>5.25</v>
      </c>
    </row>
  </sheetData>
  <conditionalFormatting sqref="A1:XFD1048576">
    <cfRule type="cellIs" dxfId="104" priority="1" operator="lessThan">
      <formula>0</formula>
    </cfRule>
  </conditionalFormatting>
  <dataValidations count="2">
    <dataValidation type="list" allowBlank="1" showInputMessage="1" showErrorMessage="1" sqref="B46:B1048576" xr:uid="{1F2DE48A-7714-4801-A072-82DFC0122113}">
      <formula1>"1,2"</formula1>
    </dataValidation>
    <dataValidation type="list" allowBlank="1" showInputMessage="1" showErrorMessage="1" sqref="B2:B45" xr:uid="{EE212B55-536E-44C2-B3F4-E1F86DBA338F}">
      <formula1>"1,2,across_1,across_2"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59E6-9F3F-481C-8820-5FBDA0209EC3}">
  <sheetPr codeName="Sheet4"/>
  <dimension ref="A1:J323"/>
  <sheetViews>
    <sheetView topLeftCell="E305" zoomScaleNormal="100" workbookViewId="0">
      <selection activeCell="J312" sqref="J312"/>
    </sheetView>
  </sheetViews>
  <sheetFormatPr defaultRowHeight="14.4" x14ac:dyDescent="0.3"/>
  <cols>
    <col min="1" max="1" width="20.33203125" customWidth="1"/>
    <col min="2" max="4" width="10.44140625" style="4" customWidth="1"/>
    <col min="5" max="5" width="20.88671875" style="4" customWidth="1"/>
    <col min="8" max="8" width="27" customWidth="1"/>
    <col min="9" max="9" width="20.33203125" customWidth="1"/>
    <col min="10" max="10" width="19.44140625" customWidth="1"/>
  </cols>
  <sheetData>
    <row r="1" spans="1:9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260</v>
      </c>
      <c r="G1" t="s">
        <v>261</v>
      </c>
      <c r="H1" t="s">
        <v>262</v>
      </c>
      <c r="I1" t="s">
        <v>263</v>
      </c>
    </row>
    <row r="2" spans="1:9" x14ac:dyDescent="0.3">
      <c r="A2" t="s">
        <v>19</v>
      </c>
      <c r="B2" s="4">
        <v>8.3099999999999993E-2</v>
      </c>
      <c r="C2" s="4">
        <v>8.3199999999999996E-2</v>
      </c>
      <c r="D2" s="4">
        <v>8.3099999999999993E-2</v>
      </c>
      <c r="E2" s="4">
        <f>AVERAGE(Data_filter_paper_weights[[#This Row],[Weight_1]:[Weight_3]])</f>
        <v>8.3133333333333337E-2</v>
      </c>
      <c r="F2" s="4">
        <v>0.18720000000000001</v>
      </c>
      <c r="G2" s="4">
        <v>0.18709999999999999</v>
      </c>
      <c r="H2" s="4">
        <f>AVERAGE(Data_filter_paper_weights[[#This Row],[Dry_weight_of_sediment+filter_paper_1]:[Dry_weight_of_sediment+filter_paper_2]])</f>
        <v>0.18714999999999998</v>
      </c>
      <c r="I2" s="4">
        <f>Data_filter_paper_weights[[#This Row],[Average_weight_of_sediment+filter_paper]]-Data_filter_paper_weights[[#This Row],[Average_weight]]</f>
        <v>0.10401666666666665</v>
      </c>
    </row>
    <row r="3" spans="1:9" x14ac:dyDescent="0.3">
      <c r="A3" t="s">
        <v>20</v>
      </c>
      <c r="B3" s="4">
        <v>8.3299999999999999E-2</v>
      </c>
      <c r="C3" s="4">
        <v>8.3199999999999996E-2</v>
      </c>
      <c r="D3" s="4">
        <v>8.3099999999999993E-2</v>
      </c>
      <c r="E3" s="4">
        <f>AVERAGE(Data_filter_paper_weights[[#This Row],[Weight_1]:[Weight_3]])</f>
        <v>8.3199999999999996E-2</v>
      </c>
      <c r="F3" s="4"/>
      <c r="G3" s="4"/>
      <c r="H3" s="4"/>
      <c r="I3" s="4"/>
    </row>
    <row r="4" spans="1:9" x14ac:dyDescent="0.3">
      <c r="A4" t="s">
        <v>21</v>
      </c>
      <c r="B4" s="4">
        <v>8.4500000000000006E-2</v>
      </c>
      <c r="C4" s="4">
        <v>8.4500000000000006E-2</v>
      </c>
      <c r="D4" s="4">
        <v>8.4500000000000006E-2</v>
      </c>
      <c r="E4" s="4">
        <f>AVERAGE(Data_filter_paper_weights[[#This Row],[Weight_1]:[Weight_3]])</f>
        <v>8.4500000000000006E-2</v>
      </c>
      <c r="F4" s="4">
        <v>0.16619999999999999</v>
      </c>
      <c r="G4" s="4">
        <v>0.1661</v>
      </c>
      <c r="H4" s="4">
        <f>AVERAGE(Data_filter_paper_weights[[#This Row],[Dry_weight_of_sediment+filter_paper_1]:[Dry_weight_of_sediment+filter_paper_2]])</f>
        <v>0.16614999999999999</v>
      </c>
      <c r="I4" s="4">
        <f>Data_filter_paper_weights[[#This Row],[Average_weight_of_sediment+filter_paper]]-Data_filter_paper_weights[[#This Row],[Average_weight]]</f>
        <v>8.1649999999999986E-2</v>
      </c>
    </row>
    <row r="5" spans="1:9" x14ac:dyDescent="0.3">
      <c r="A5" t="s">
        <v>22</v>
      </c>
      <c r="B5" s="4">
        <v>8.4000000000000005E-2</v>
      </c>
      <c r="C5" s="4">
        <v>8.4000000000000005E-2</v>
      </c>
      <c r="D5" s="4">
        <v>8.3900000000000002E-2</v>
      </c>
      <c r="E5" s="4">
        <f>AVERAGE(Data_filter_paper_weights[[#This Row],[Weight_1]:[Weight_3]])</f>
        <v>8.3966666666666676E-2</v>
      </c>
      <c r="F5" s="4"/>
      <c r="G5" s="4"/>
      <c r="H5" s="4"/>
      <c r="I5" s="4"/>
    </row>
    <row r="6" spans="1:9" x14ac:dyDescent="0.3">
      <c r="A6" t="s">
        <v>23</v>
      </c>
      <c r="B6" s="4">
        <v>8.3400000000000002E-2</v>
      </c>
      <c r="C6" s="4">
        <v>8.3400000000000002E-2</v>
      </c>
      <c r="D6" s="4">
        <v>8.3500000000000005E-2</v>
      </c>
      <c r="E6" s="4">
        <f>AVERAGE(Data_filter_paper_weights[[#This Row],[Weight_1]:[Weight_3]])</f>
        <v>8.3433333333333345E-2</v>
      </c>
      <c r="F6" s="4"/>
      <c r="G6" s="4"/>
      <c r="H6" s="4"/>
      <c r="I6" s="4"/>
    </row>
    <row r="7" spans="1:9" x14ac:dyDescent="0.3">
      <c r="A7" t="s">
        <v>24</v>
      </c>
      <c r="B7" s="4">
        <v>8.3500000000000005E-2</v>
      </c>
      <c r="C7" s="4">
        <v>8.3599999999999994E-2</v>
      </c>
      <c r="D7" s="4">
        <v>8.3699999999999997E-2</v>
      </c>
      <c r="E7" s="4">
        <f>AVERAGE(Data_filter_paper_weights[[#This Row],[Weight_1]:[Weight_3]])</f>
        <v>8.3600000000000008E-2</v>
      </c>
      <c r="F7" s="4">
        <v>0.13850000000000001</v>
      </c>
      <c r="G7" s="4">
        <v>0.1386</v>
      </c>
      <c r="H7" s="4">
        <f>AVERAGE(Data_filter_paper_weights[[#This Row],[Dry_weight_of_sediment+filter_paper_1]:[Dry_weight_of_sediment+filter_paper_2]])</f>
        <v>0.13855000000000001</v>
      </c>
      <c r="I7" s="4">
        <f>Data_filter_paper_weights[[#This Row],[Average_weight_of_sediment+filter_paper]]-Data_filter_paper_weights[[#This Row],[Average_weight]]</f>
        <v>5.4949999999999999E-2</v>
      </c>
    </row>
    <row r="8" spans="1:9" x14ac:dyDescent="0.3">
      <c r="A8" t="s">
        <v>25</v>
      </c>
      <c r="B8" s="4">
        <v>8.8599999999999998E-2</v>
      </c>
      <c r="C8" s="4">
        <v>8.8499999999999995E-2</v>
      </c>
      <c r="D8" s="4">
        <v>8.8400000000000006E-2</v>
      </c>
      <c r="E8" s="4">
        <f>AVERAGE(Data_filter_paper_weights[[#This Row],[Weight_1]:[Weight_3]])</f>
        <v>8.8499999999999981E-2</v>
      </c>
      <c r="F8" s="4">
        <v>0.17480000000000001</v>
      </c>
      <c r="G8" s="4">
        <v>0.1749</v>
      </c>
      <c r="H8" s="4">
        <f>AVERAGE(Data_filter_paper_weights[[#This Row],[Dry_weight_of_sediment+filter_paper_1]:[Dry_weight_of_sediment+filter_paper_2]])</f>
        <v>0.17485000000000001</v>
      </c>
      <c r="I8" s="4">
        <f>Data_filter_paper_weights[[#This Row],[Average_weight_of_sediment+filter_paper]]-Data_filter_paper_weights[[#This Row],[Average_weight]]</f>
        <v>8.6350000000000024E-2</v>
      </c>
    </row>
    <row r="9" spans="1:9" x14ac:dyDescent="0.3">
      <c r="A9" t="s">
        <v>26</v>
      </c>
      <c r="B9" s="4">
        <v>8.6599999999999996E-2</v>
      </c>
      <c r="C9" s="4">
        <v>8.6699999999999999E-2</v>
      </c>
      <c r="D9" s="4">
        <v>8.6800000000000002E-2</v>
      </c>
      <c r="E9" s="4">
        <f>AVERAGE(Data_filter_paper_weights[[#This Row],[Weight_1]:[Weight_3]])</f>
        <v>8.6699999999999999E-2</v>
      </c>
      <c r="F9" s="4">
        <v>0.16669999999999999</v>
      </c>
      <c r="G9" s="4">
        <v>0.16669999999999999</v>
      </c>
      <c r="H9" s="4">
        <f>AVERAGE(Data_filter_paper_weights[[#This Row],[Dry_weight_of_sediment+filter_paper_1]:[Dry_weight_of_sediment+filter_paper_2]])</f>
        <v>0.16669999999999999</v>
      </c>
      <c r="I9" s="4">
        <f>Data_filter_paper_weights[[#This Row],[Average_weight_of_sediment+filter_paper]]-Data_filter_paper_weights[[#This Row],[Average_weight]]</f>
        <v>7.9999999999999988E-2</v>
      </c>
    </row>
    <row r="10" spans="1:9" x14ac:dyDescent="0.3">
      <c r="A10" t="s">
        <v>27</v>
      </c>
      <c r="B10" s="4">
        <v>8.8800000000000004E-2</v>
      </c>
      <c r="C10" s="4">
        <v>8.8700000000000001E-2</v>
      </c>
      <c r="D10" s="4">
        <v>8.8499999999999995E-2</v>
      </c>
      <c r="E10" s="4">
        <f>AVERAGE(Data_filter_paper_weights[[#This Row],[Weight_1]:[Weight_3]])</f>
        <v>8.8666666666666671E-2</v>
      </c>
      <c r="F10" s="4">
        <v>0.1273</v>
      </c>
      <c r="G10" s="4">
        <v>0.12720000000000001</v>
      </c>
      <c r="H10" s="4">
        <f>AVERAGE(Data_filter_paper_weights[[#This Row],[Dry_weight_of_sediment+filter_paper_1]:[Dry_weight_of_sediment+filter_paper_2]])</f>
        <v>0.12725</v>
      </c>
      <c r="I10" s="4">
        <f>Data_filter_paper_weights[[#This Row],[Average_weight_of_sediment+filter_paper]]-Data_filter_paper_weights[[#This Row],[Average_weight]]</f>
        <v>3.8583333333333331E-2</v>
      </c>
    </row>
    <row r="11" spans="1:9" x14ac:dyDescent="0.3">
      <c r="A11" t="s">
        <v>28</v>
      </c>
      <c r="B11" s="4">
        <v>8.7499999999999994E-2</v>
      </c>
      <c r="C11" s="4">
        <v>8.7400000000000005E-2</v>
      </c>
      <c r="D11" s="4">
        <v>8.7300000000000003E-2</v>
      </c>
      <c r="E11" s="4">
        <f>AVERAGE(Data_filter_paper_weights[[#This Row],[Weight_1]:[Weight_3]])</f>
        <v>8.7399999999999992E-2</v>
      </c>
      <c r="F11" s="4">
        <f>AVERAGE(Data_filter_paper_weights[[#This Row],[Weight_1]:[Weight_3]])</f>
        <v>8.7399999999999992E-2</v>
      </c>
      <c r="G11" s="4">
        <v>0.114</v>
      </c>
      <c r="H11" s="4">
        <v>0.11409999999999999</v>
      </c>
      <c r="I11" s="4">
        <f>AVERAGE(Data_filter_paper_weights[[#This Row],[Dry_weight_of_sediment+filter_paper_1]:[Dry_weight_of_sediment+filter_paper_2]])</f>
        <v>0.1007</v>
      </c>
    </row>
    <row r="12" spans="1:9" x14ac:dyDescent="0.3">
      <c r="A12" t="s">
        <v>29</v>
      </c>
      <c r="B12" s="4">
        <v>9.0899999999999995E-2</v>
      </c>
      <c r="C12" s="4">
        <v>9.0800000000000006E-2</v>
      </c>
      <c r="D12" s="4">
        <v>9.0999999999999998E-2</v>
      </c>
      <c r="E12" s="4">
        <f>AVERAGE(Data_filter_paper_weights[[#This Row],[Weight_1]:[Weight_3]])</f>
        <v>9.0899999999999995E-2</v>
      </c>
      <c r="F12" s="4">
        <v>0.12670000000000001</v>
      </c>
      <c r="G12" s="4">
        <v>0.1268</v>
      </c>
      <c r="H12" s="4">
        <f>AVERAGE(Data_filter_paper_weights[[#This Row],[Dry_weight_of_sediment+filter_paper_1]:[Dry_weight_of_sediment+filter_paper_2]])</f>
        <v>0.12675</v>
      </c>
      <c r="I12" s="4">
        <f>Data_filter_paper_weights[[#This Row],[Average_weight_of_sediment+filter_paper]]-Data_filter_paper_weights[[#This Row],[Average_weight]]</f>
        <v>3.5850000000000007E-2</v>
      </c>
    </row>
    <row r="13" spans="1:9" x14ac:dyDescent="0.3">
      <c r="A13" t="s">
        <v>30</v>
      </c>
      <c r="B13" s="4">
        <v>9.0800000000000006E-2</v>
      </c>
      <c r="C13" s="4">
        <v>9.0700000000000003E-2</v>
      </c>
      <c r="D13" s="4">
        <v>9.06E-2</v>
      </c>
      <c r="E13" s="4">
        <f>AVERAGE(Data_filter_paper_weights[[#This Row],[Weight_1]:[Weight_3]])</f>
        <v>9.0700000000000003E-2</v>
      </c>
      <c r="F13" s="4">
        <v>0.16819999999999999</v>
      </c>
      <c r="G13" s="4">
        <v>0.16830000000000001</v>
      </c>
      <c r="H13" s="4">
        <f>AVERAGE(Data_filter_paper_weights[[#This Row],[Dry_weight_of_sediment+filter_paper_1]:[Dry_weight_of_sediment+filter_paper_2]])</f>
        <v>0.16825000000000001</v>
      </c>
      <c r="I13" s="4">
        <f>Data_filter_paper_weights[[#This Row],[Average_weight_of_sediment+filter_paper]]-Data_filter_paper_weights[[#This Row],[Average_weight]]</f>
        <v>7.7550000000000008E-2</v>
      </c>
    </row>
    <row r="14" spans="1:9" x14ac:dyDescent="0.3">
      <c r="A14" t="s">
        <v>31</v>
      </c>
      <c r="B14" s="4">
        <v>9.0800000000000006E-2</v>
      </c>
      <c r="C14" s="4">
        <v>9.0999999999999998E-2</v>
      </c>
      <c r="D14" s="4">
        <v>9.0899999999999995E-2</v>
      </c>
      <c r="E14" s="4">
        <f>AVERAGE(Data_filter_paper_weights[[#This Row],[Weight_1]:[Weight_3]])</f>
        <v>9.0899999999999995E-2</v>
      </c>
      <c r="F14" s="4">
        <v>0.1133</v>
      </c>
      <c r="G14" s="4">
        <v>0.1133</v>
      </c>
      <c r="H14" s="4">
        <f>AVERAGE(Data_filter_paper_weights[[#This Row],[Dry_weight_of_sediment+filter_paper_1]:[Dry_weight_of_sediment+filter_paper_2]])</f>
        <v>0.1133</v>
      </c>
      <c r="I14" s="4">
        <f>Data_filter_paper_weights[[#This Row],[Average_weight_of_sediment+filter_paper]]-Data_filter_paper_weights[[#This Row],[Average_weight]]</f>
        <v>2.2400000000000003E-2</v>
      </c>
    </row>
    <row r="15" spans="1:9" x14ac:dyDescent="0.3">
      <c r="A15" t="s">
        <v>32</v>
      </c>
      <c r="B15" s="4">
        <v>8.4000000000000005E-2</v>
      </c>
      <c r="C15" s="4">
        <v>8.4000000000000005E-2</v>
      </c>
      <c r="D15" s="4">
        <v>8.3900000000000002E-2</v>
      </c>
      <c r="E15" s="4">
        <f>AVERAGE(Data_filter_paper_weights[[#This Row],[Weight_1]:[Weight_3]])</f>
        <v>8.3966666666666676E-2</v>
      </c>
      <c r="F15" s="4">
        <v>0.11020000000000001</v>
      </c>
      <c r="G15" s="4">
        <v>0.1103</v>
      </c>
      <c r="H15" s="4">
        <f>AVERAGE(Data_filter_paper_weights[[#This Row],[Dry_weight_of_sediment+filter_paper_1]:[Dry_weight_of_sediment+filter_paper_2]])</f>
        <v>0.11025</v>
      </c>
      <c r="I15" s="4">
        <f>Data_filter_paper_weights[[#This Row],[Average_weight_of_sediment+filter_paper]]-Data_filter_paper_weights[[#This Row],[Average_weight]]</f>
        <v>2.6283333333333325E-2</v>
      </c>
    </row>
    <row r="16" spans="1:9" x14ac:dyDescent="0.3">
      <c r="A16" t="s">
        <v>33</v>
      </c>
      <c r="B16" s="4">
        <v>8.3400000000000002E-2</v>
      </c>
      <c r="C16" s="4">
        <v>8.3500000000000005E-2</v>
      </c>
      <c r="D16" s="4">
        <v>8.3400000000000002E-2</v>
      </c>
      <c r="E16" s="4">
        <f>AVERAGE(Data_filter_paper_weights[[#This Row],[Weight_1]:[Weight_3]])</f>
        <v>8.3433333333333318E-2</v>
      </c>
      <c r="F16" s="4">
        <v>0.114</v>
      </c>
      <c r="G16" s="4">
        <v>0.11409999999999999</v>
      </c>
      <c r="H16" s="4">
        <f>AVERAGE(Data_filter_paper_weights[[#This Row],[Dry_weight_of_sediment+filter_paper_1]:[Dry_weight_of_sediment+filter_paper_2]])</f>
        <v>0.11405</v>
      </c>
      <c r="I16" s="4">
        <f>Data_filter_paper_weights[[#This Row],[Average_weight_of_sediment+filter_paper]]-Data_filter_paper_weights[[#This Row],[Average_weight]]</f>
        <v>3.0616666666666681E-2</v>
      </c>
    </row>
    <row r="17" spans="1:9" x14ac:dyDescent="0.3">
      <c r="A17" t="s">
        <v>34</v>
      </c>
      <c r="B17" s="4">
        <v>8.3500000000000005E-2</v>
      </c>
      <c r="C17" s="4">
        <v>8.3599999999999994E-2</v>
      </c>
      <c r="D17" s="4">
        <v>8.3699999999999997E-2</v>
      </c>
      <c r="E17" s="4">
        <f>AVERAGE(Data_filter_paper_weights[[#This Row],[Weight_1]:[Weight_3]])</f>
        <v>8.3600000000000008E-2</v>
      </c>
      <c r="F17" s="4">
        <v>0.10920000000000001</v>
      </c>
      <c r="G17" s="4">
        <v>0.1091</v>
      </c>
      <c r="H17" s="4">
        <f>AVERAGE(Data_filter_paper_weights[[#This Row],[Dry_weight_of_sediment+filter_paper_1]:[Dry_weight_of_sediment+filter_paper_2]])</f>
        <v>0.10915</v>
      </c>
      <c r="I17" s="4">
        <f>Data_filter_paper_weights[[#This Row],[Average_weight_of_sediment+filter_paper]]-Data_filter_paper_weights[[#This Row],[Average_weight]]</f>
        <v>2.5549999999999989E-2</v>
      </c>
    </row>
    <row r="18" spans="1:9" x14ac:dyDescent="0.3">
      <c r="A18" t="s">
        <v>35</v>
      </c>
      <c r="B18" s="4">
        <v>8.43E-2</v>
      </c>
      <c r="C18" s="4">
        <v>8.4199999999999997E-2</v>
      </c>
      <c r="D18" s="4">
        <v>8.4099999999999994E-2</v>
      </c>
      <c r="E18" s="4">
        <f>AVERAGE(Data_filter_paper_weights[[#This Row],[Weight_1]:[Weight_3]])</f>
        <v>8.4199999999999997E-2</v>
      </c>
      <c r="F18" s="4"/>
      <c r="G18" s="4"/>
      <c r="H18" s="4"/>
      <c r="I18" s="4"/>
    </row>
    <row r="19" spans="1:9" x14ac:dyDescent="0.3">
      <c r="A19" t="s">
        <v>36</v>
      </c>
      <c r="B19" s="4">
        <v>8.4199999999999997E-2</v>
      </c>
      <c r="C19" s="4">
        <v>8.43E-2</v>
      </c>
      <c r="D19" s="4">
        <v>8.4199999999999997E-2</v>
      </c>
      <c r="E19" s="4">
        <f>AVERAGE(Data_filter_paper_weights[[#This Row],[Weight_1]:[Weight_3]])</f>
        <v>8.4233333333333327E-2</v>
      </c>
      <c r="F19" s="4">
        <v>0.1163</v>
      </c>
      <c r="G19" s="4">
        <v>0.1164</v>
      </c>
      <c r="H19" s="4">
        <f>AVERAGE(Data_filter_paper_weights[[#This Row],[Dry_weight_of_sediment+filter_paper_1]:[Dry_weight_of_sediment+filter_paper_2]])</f>
        <v>0.11635000000000001</v>
      </c>
      <c r="I19" s="4">
        <f>Data_filter_paper_weights[[#This Row],[Average_weight_of_sediment+filter_paper]]-Data_filter_paper_weights[[#This Row],[Average_weight]]</f>
        <v>3.2116666666666682E-2</v>
      </c>
    </row>
    <row r="20" spans="1:9" x14ac:dyDescent="0.3">
      <c r="A20" t="s">
        <v>37</v>
      </c>
      <c r="B20" s="4">
        <v>8.4099999999999994E-2</v>
      </c>
      <c r="C20" s="4">
        <v>8.3900000000000002E-2</v>
      </c>
      <c r="D20" s="4">
        <v>8.4000000000000005E-2</v>
      </c>
      <c r="E20" s="4">
        <f>AVERAGE(Data_filter_paper_weights[[#This Row],[Weight_1]:[Weight_3]])</f>
        <v>8.4000000000000005E-2</v>
      </c>
      <c r="F20" s="4">
        <v>0.15859999999999999</v>
      </c>
      <c r="G20" s="4">
        <v>0.15859999999999999</v>
      </c>
      <c r="H20" s="4">
        <f>AVERAGE(Data_filter_paper_weights[[#This Row],[Dry_weight_of_sediment+filter_paper_1]:[Dry_weight_of_sediment+filter_paper_2]])</f>
        <v>0.15859999999999999</v>
      </c>
      <c r="I20" s="4">
        <f>Data_filter_paper_weights[[#This Row],[Average_weight_of_sediment+filter_paper]]-Data_filter_paper_weights[[#This Row],[Average_weight]]</f>
        <v>7.4599999999999986E-2</v>
      </c>
    </row>
    <row r="21" spans="1:9" x14ac:dyDescent="0.3">
      <c r="A21" t="s">
        <v>38</v>
      </c>
      <c r="B21" s="4">
        <v>8.77E-2</v>
      </c>
      <c r="C21" s="4">
        <v>8.7599999999999997E-2</v>
      </c>
      <c r="D21" s="4">
        <v>8.7400000000000005E-2</v>
      </c>
      <c r="E21" s="4">
        <f>AVERAGE(Data_filter_paper_weights[[#This Row],[Weight_1]:[Weight_3]])</f>
        <v>8.7566666666666682E-2</v>
      </c>
      <c r="F21" s="4">
        <v>0.13500000000000001</v>
      </c>
      <c r="G21" s="4">
        <v>0.13519999999999999</v>
      </c>
      <c r="H21" s="4">
        <f>AVERAGE(Data_filter_paper_weights[[#This Row],[Dry_weight_of_sediment+filter_paper_1]:[Dry_weight_of_sediment+filter_paper_2]])</f>
        <v>0.1351</v>
      </c>
      <c r="I21" s="4">
        <f>Data_filter_paper_weights[[#This Row],[Average_weight_of_sediment+filter_paper]]-Data_filter_paper_weights[[#This Row],[Average_weight]]</f>
        <v>4.7533333333333316E-2</v>
      </c>
    </row>
    <row r="22" spans="1:9" x14ac:dyDescent="0.3">
      <c r="A22" t="s">
        <v>39</v>
      </c>
      <c r="B22" s="4">
        <v>8.7900000000000006E-2</v>
      </c>
      <c r="C22" s="4">
        <v>8.7599999999999997E-2</v>
      </c>
      <c r="D22" s="4">
        <v>8.77E-2</v>
      </c>
      <c r="E22" s="4">
        <f>AVERAGE(Data_filter_paper_weights[[#This Row],[Weight_1]:[Weight_3]])</f>
        <v>8.773333333333333E-2</v>
      </c>
      <c r="F22" s="4">
        <v>0.1512</v>
      </c>
      <c r="G22" s="4">
        <v>0.15129999999999999</v>
      </c>
      <c r="H22" s="4">
        <f>AVERAGE(Data_filter_paper_weights[[#This Row],[Dry_weight_of_sediment+filter_paper_1]:[Dry_weight_of_sediment+filter_paper_2]])</f>
        <v>0.15125</v>
      </c>
      <c r="I22" s="4">
        <f>Data_filter_paper_weights[[#This Row],[Average_weight_of_sediment+filter_paper]]-Data_filter_paper_weights[[#This Row],[Average_weight]]</f>
        <v>6.3516666666666666E-2</v>
      </c>
    </row>
    <row r="23" spans="1:9" x14ac:dyDescent="0.3">
      <c r="A23" t="s">
        <v>40</v>
      </c>
      <c r="B23" s="4">
        <v>8.3299999999999999E-2</v>
      </c>
      <c r="C23" s="4">
        <v>8.3199999999999996E-2</v>
      </c>
      <c r="D23" s="4">
        <v>8.3099999999999993E-2</v>
      </c>
      <c r="E23" s="4">
        <f>AVERAGE(Data_filter_paper_weights[[#This Row],[Weight_1]:[Weight_3]])</f>
        <v>8.3199999999999996E-2</v>
      </c>
      <c r="F23" s="4">
        <v>0.12130000000000001</v>
      </c>
      <c r="G23" s="4">
        <v>0.12139999999999999</v>
      </c>
      <c r="H23" s="4">
        <f>AVERAGE(Data_filter_paper_weights[[#This Row],[Dry_weight_of_sediment+filter_paper_1]:[Dry_weight_of_sediment+filter_paper_2]])</f>
        <v>0.12135</v>
      </c>
      <c r="I23" s="4">
        <f>Data_filter_paper_weights[[#This Row],[Average_weight_of_sediment+filter_paper]]-Data_filter_paper_weights[[#This Row],[Average_weight]]</f>
        <v>3.8150000000000003E-2</v>
      </c>
    </row>
    <row r="24" spans="1:9" x14ac:dyDescent="0.3">
      <c r="A24" t="s">
        <v>41</v>
      </c>
      <c r="B24" s="4">
        <v>8.3400000000000002E-2</v>
      </c>
      <c r="C24" s="4">
        <v>8.3500000000000005E-2</v>
      </c>
      <c r="D24" s="4">
        <v>8.3400000000000002E-2</v>
      </c>
      <c r="E24" s="4">
        <f>AVERAGE(Data_filter_paper_weights[[#This Row],[Weight_1]:[Weight_3]])</f>
        <v>8.3433333333333318E-2</v>
      </c>
      <c r="F24" s="4">
        <v>0.12330000000000001</v>
      </c>
      <c r="G24" s="4">
        <v>0.1234</v>
      </c>
      <c r="H24" s="4">
        <f>AVERAGE(Data_filter_paper_weights[[#This Row],[Dry_weight_of_sediment+filter_paper_1]:[Dry_weight_of_sediment+filter_paper_2]])</f>
        <v>0.12335</v>
      </c>
      <c r="I24" s="4">
        <f>Data_filter_paper_weights[[#This Row],[Average_weight_of_sediment+filter_paper]]-Data_filter_paper_weights[[#This Row],[Average_weight]]</f>
        <v>3.9916666666666684E-2</v>
      </c>
    </row>
    <row r="25" spans="1:9" x14ac:dyDescent="0.3">
      <c r="A25" t="s">
        <v>42</v>
      </c>
      <c r="B25" s="4">
        <v>8.3500000000000005E-2</v>
      </c>
      <c r="C25" s="4">
        <v>8.3599999999999994E-2</v>
      </c>
      <c r="D25" s="4">
        <v>8.3699999999999997E-2</v>
      </c>
      <c r="E25" s="4">
        <f>AVERAGE(Data_filter_paper_weights[[#This Row],[Weight_1]:[Weight_3]])</f>
        <v>8.3600000000000008E-2</v>
      </c>
      <c r="F25" s="4">
        <v>0.13589999999999999</v>
      </c>
      <c r="G25" s="4">
        <v>0.13600000000000001</v>
      </c>
      <c r="H25" s="4">
        <f>AVERAGE(Data_filter_paper_weights[[#This Row],[Dry_weight_of_sediment+filter_paper_1]:[Dry_weight_of_sediment+filter_paper_2]])</f>
        <v>0.13595000000000002</v>
      </c>
      <c r="I25" s="4">
        <f>Data_filter_paper_weights[[#This Row],[Average_weight_of_sediment+filter_paper]]-Data_filter_paper_weights[[#This Row],[Average_weight]]</f>
        <v>5.2350000000000008E-2</v>
      </c>
    </row>
    <row r="26" spans="1:9" x14ac:dyDescent="0.3">
      <c r="A26" t="s">
        <v>43</v>
      </c>
      <c r="B26" s="4">
        <v>8.4500000000000006E-2</v>
      </c>
      <c r="C26" s="4">
        <v>8.4500000000000006E-2</v>
      </c>
      <c r="D26" s="4">
        <v>8.4500000000000006E-2</v>
      </c>
      <c r="E26" s="4">
        <f>AVERAGE(Data_filter_paper_weights[[#This Row],[Weight_1]:[Weight_3]])</f>
        <v>8.4500000000000006E-2</v>
      </c>
      <c r="F26" s="4">
        <v>0.1338</v>
      </c>
      <c r="G26" s="4">
        <v>0.13370000000000001</v>
      </c>
      <c r="H26" s="4">
        <f>AVERAGE(Data_filter_paper_weights[[#This Row],[Dry_weight_of_sediment+filter_paper_1]:[Dry_weight_of_sediment+filter_paper_2]])</f>
        <v>0.13375000000000001</v>
      </c>
      <c r="I26" s="4">
        <f>Data_filter_paper_weights[[#This Row],[Average_weight_of_sediment+filter_paper]]-Data_filter_paper_weights[[#This Row],[Average_weight]]</f>
        <v>4.9250000000000002E-2</v>
      </c>
    </row>
    <row r="27" spans="1:9" x14ac:dyDescent="0.3">
      <c r="A27" t="s">
        <v>44</v>
      </c>
      <c r="B27" s="4">
        <v>9.0800000000000006E-2</v>
      </c>
      <c r="C27" s="4">
        <v>9.0700000000000003E-2</v>
      </c>
      <c r="D27" s="4">
        <v>9.06E-2</v>
      </c>
      <c r="E27" s="4">
        <f>AVERAGE(Data_filter_paper_weights[[#This Row],[Weight_1]:[Weight_3]])</f>
        <v>9.0700000000000003E-2</v>
      </c>
      <c r="F27" s="4">
        <v>0.1268</v>
      </c>
      <c r="G27" s="4">
        <v>0.1268</v>
      </c>
      <c r="H27" s="4">
        <f>AVERAGE(Data_filter_paper_weights[[#This Row],[Dry_weight_of_sediment+filter_paper_1]:[Dry_weight_of_sediment+filter_paper_2]])</f>
        <v>0.1268</v>
      </c>
      <c r="I27" s="4">
        <f>Data_filter_paper_weights[[#This Row],[Average_weight_of_sediment+filter_paper]]-Data_filter_paper_weights[[#This Row],[Average_weight]]</f>
        <v>3.6099999999999993E-2</v>
      </c>
    </row>
    <row r="28" spans="1:9" x14ac:dyDescent="0.3">
      <c r="A28" t="s">
        <v>45</v>
      </c>
      <c r="B28" s="4">
        <v>9.0800000000000006E-2</v>
      </c>
      <c r="C28" s="4">
        <v>9.0999999999999998E-2</v>
      </c>
      <c r="D28" s="4">
        <v>9.0899999999999995E-2</v>
      </c>
      <c r="E28" s="4">
        <f>AVERAGE(Data_filter_paper_weights[[#This Row],[Weight_1]:[Weight_3]])</f>
        <v>9.0899999999999995E-2</v>
      </c>
      <c r="F28" s="4">
        <v>0.14099999999999999</v>
      </c>
      <c r="G28" s="4">
        <v>0.1411</v>
      </c>
      <c r="H28" s="4">
        <f>AVERAGE(Data_filter_paper_weights[[#This Row],[Dry_weight_of_sediment+filter_paper_1]:[Dry_weight_of_sediment+filter_paper_2]])</f>
        <v>0.14105000000000001</v>
      </c>
      <c r="I28" s="4">
        <f>Data_filter_paper_weights[[#This Row],[Average_weight_of_sediment+filter_paper]]-Data_filter_paper_weights[[#This Row],[Average_weight]]</f>
        <v>5.0150000000000014E-2</v>
      </c>
    </row>
    <row r="29" spans="1:9" x14ac:dyDescent="0.3">
      <c r="A29" t="s">
        <v>46</v>
      </c>
      <c r="B29" s="4">
        <v>8.4000000000000005E-2</v>
      </c>
      <c r="C29" s="4">
        <v>8.4000000000000005E-2</v>
      </c>
      <c r="D29" s="4">
        <v>8.3900000000000002E-2</v>
      </c>
      <c r="E29" s="4">
        <f>AVERAGE(Data_filter_paper_weights[[#This Row],[Weight_1]:[Weight_3]])</f>
        <v>8.3966666666666676E-2</v>
      </c>
      <c r="F29" s="4">
        <v>0.1663</v>
      </c>
      <c r="G29" s="4">
        <v>0.16639999999999999</v>
      </c>
      <c r="H29" s="4">
        <f>AVERAGE(Data_filter_paper_weights[[#This Row],[Dry_weight_of_sediment+filter_paper_1]:[Dry_weight_of_sediment+filter_paper_2]])</f>
        <v>0.16635</v>
      </c>
      <c r="I29" s="4">
        <f>Data_filter_paper_weights[[#This Row],[Average_weight_of_sediment+filter_paper]]-Data_filter_paper_weights[[#This Row],[Average_weight]]</f>
        <v>8.2383333333333322E-2</v>
      </c>
    </row>
    <row r="30" spans="1:9" x14ac:dyDescent="0.3">
      <c r="A30" t="s">
        <v>47</v>
      </c>
      <c r="B30" s="4">
        <v>8.3400000000000002E-2</v>
      </c>
      <c r="C30" s="4">
        <v>8.3500000000000005E-2</v>
      </c>
      <c r="D30" s="4">
        <v>8.3400000000000002E-2</v>
      </c>
      <c r="E30" s="4">
        <f>AVERAGE(Data_filter_paper_weights[[#This Row],[Weight_1]:[Weight_3]])</f>
        <v>8.3433333333333318E-2</v>
      </c>
      <c r="F30" s="4">
        <v>0.1061</v>
      </c>
      <c r="G30" s="4">
        <v>0.1062</v>
      </c>
      <c r="H30" s="4">
        <f>AVERAGE(Data_filter_paper_weights[[#This Row],[Dry_weight_of_sediment+filter_paper_1]:[Dry_weight_of_sediment+filter_paper_2]])</f>
        <v>0.10614999999999999</v>
      </c>
      <c r="I30" s="4">
        <f>Data_filter_paper_weights[[#This Row],[Average_weight_of_sediment+filter_paper]]-Data_filter_paper_weights[[#This Row],[Average_weight]]</f>
        <v>2.2716666666666677E-2</v>
      </c>
    </row>
    <row r="31" spans="1:9" x14ac:dyDescent="0.3">
      <c r="A31" t="s">
        <v>48</v>
      </c>
      <c r="B31" s="4">
        <v>8.3500000000000005E-2</v>
      </c>
      <c r="C31" s="4">
        <v>8.3599999999999994E-2</v>
      </c>
      <c r="D31" s="4">
        <v>8.3699999999999997E-2</v>
      </c>
      <c r="E31" s="4">
        <f>AVERAGE(Data_filter_paper_weights[[#This Row],[Weight_1]:[Weight_3]])</f>
        <v>8.3600000000000008E-2</v>
      </c>
      <c r="F31" s="4">
        <v>0.16120000000000001</v>
      </c>
      <c r="G31" s="4">
        <v>0.1613</v>
      </c>
      <c r="H31" s="4">
        <f>AVERAGE(Data_filter_paper_weights[[#This Row],[Dry_weight_of_sediment+filter_paper_1]:[Dry_weight_of_sediment+filter_paper_2]])</f>
        <v>0.16125</v>
      </c>
      <c r="I31" s="4">
        <f>Data_filter_paper_weights[[#This Row],[Average_weight_of_sediment+filter_paper]]-Data_filter_paper_weights[[#This Row],[Average_weight]]</f>
        <v>7.7649999999999997E-2</v>
      </c>
    </row>
    <row r="32" spans="1:9" x14ac:dyDescent="0.3">
      <c r="A32" t="s">
        <v>49</v>
      </c>
      <c r="B32" s="4">
        <v>8.43E-2</v>
      </c>
      <c r="C32" s="4">
        <v>8.4199999999999997E-2</v>
      </c>
      <c r="D32" s="4">
        <v>8.4099999999999994E-2</v>
      </c>
      <c r="E32" s="4">
        <f>AVERAGE(Data_filter_paper_weights[[#This Row],[Weight_1]:[Weight_3]])</f>
        <v>8.4199999999999997E-2</v>
      </c>
      <c r="F32" s="4">
        <v>0.2049</v>
      </c>
      <c r="G32" s="4">
        <v>0.20499999999999999</v>
      </c>
      <c r="H32" s="4">
        <f>AVERAGE(Data_filter_paper_weights[[#This Row],[Dry_weight_of_sediment+filter_paper_1]:[Dry_weight_of_sediment+filter_paper_2]])</f>
        <v>0.20494999999999999</v>
      </c>
      <c r="I32" s="4">
        <f>Data_filter_paper_weights[[#This Row],[Average_weight_of_sediment+filter_paper]]-Data_filter_paper_weights[[#This Row],[Average_weight]]</f>
        <v>0.12075</v>
      </c>
    </row>
    <row r="33" spans="1:9" x14ac:dyDescent="0.3">
      <c r="A33" t="s">
        <v>50</v>
      </c>
      <c r="B33" s="4">
        <v>8.4199999999999997E-2</v>
      </c>
      <c r="C33" s="4">
        <v>8.43E-2</v>
      </c>
      <c r="D33" s="4">
        <v>8.4199999999999997E-2</v>
      </c>
      <c r="E33" s="4">
        <f>AVERAGE(Data_filter_paper_weights[[#This Row],[Weight_1]:[Weight_3]])</f>
        <v>8.4233333333333327E-2</v>
      </c>
      <c r="F33" s="4">
        <v>0.85540000000000005</v>
      </c>
      <c r="G33" s="4">
        <v>0.85540000000000005</v>
      </c>
      <c r="H33" s="4">
        <f>AVERAGE(Data_filter_paper_weights[[#This Row],[Dry_weight_of_sediment+filter_paper_1]:[Dry_weight_of_sediment+filter_paper_2]])</f>
        <v>0.85540000000000005</v>
      </c>
      <c r="I33" s="4">
        <f>Data_filter_paper_weights[[#This Row],[Average_weight_of_sediment+filter_paper]]-Data_filter_paper_weights[[#This Row],[Average_weight]]</f>
        <v>0.77116666666666678</v>
      </c>
    </row>
    <row r="34" spans="1:9" x14ac:dyDescent="0.3">
      <c r="A34" t="s">
        <v>51</v>
      </c>
      <c r="B34" s="4">
        <v>8.4099999999999994E-2</v>
      </c>
      <c r="C34" s="4">
        <v>8.3900000000000002E-2</v>
      </c>
      <c r="D34" s="4">
        <v>8.4000000000000005E-2</v>
      </c>
      <c r="E34" s="4">
        <f>AVERAGE(Data_filter_paper_weights[[#This Row],[Weight_1]:[Weight_3]])</f>
        <v>8.4000000000000005E-2</v>
      </c>
      <c r="F34" s="4">
        <v>0.12790000000000001</v>
      </c>
      <c r="G34" s="4">
        <v>0.12790000000000001</v>
      </c>
      <c r="H34" s="4">
        <f>AVERAGE(Data_filter_paper_weights[[#This Row],[Dry_weight_of_sediment+filter_paper_1]:[Dry_weight_of_sediment+filter_paper_2]])</f>
        <v>0.12790000000000001</v>
      </c>
      <c r="I34" s="4">
        <f>Data_filter_paper_weights[[#This Row],[Average_weight_of_sediment+filter_paper]]-Data_filter_paper_weights[[#This Row],[Average_weight]]</f>
        <v>4.3900000000000008E-2</v>
      </c>
    </row>
    <row r="35" spans="1:9" x14ac:dyDescent="0.3">
      <c r="A35" t="s">
        <v>52</v>
      </c>
      <c r="B35" s="4">
        <v>8.77E-2</v>
      </c>
      <c r="C35" s="4">
        <v>8.7599999999999997E-2</v>
      </c>
      <c r="D35" s="4">
        <v>8.7400000000000005E-2</v>
      </c>
      <c r="E35" s="4">
        <f>AVERAGE(Data_filter_paper_weights[[#This Row],[Weight_1]:[Weight_3]])</f>
        <v>8.7566666666666682E-2</v>
      </c>
      <c r="F35" s="4">
        <v>0.1474</v>
      </c>
      <c r="G35" s="4">
        <v>0.1474</v>
      </c>
      <c r="H35" s="4">
        <f>AVERAGE(Data_filter_paper_weights[[#This Row],[Dry_weight_of_sediment+filter_paper_1]:[Dry_weight_of_sediment+filter_paper_2]])</f>
        <v>0.1474</v>
      </c>
      <c r="I35" s="4">
        <f>Data_filter_paper_weights[[#This Row],[Average_weight_of_sediment+filter_paper]]-Data_filter_paper_weights[[#This Row],[Average_weight]]</f>
        <v>5.9833333333333322E-2</v>
      </c>
    </row>
    <row r="36" spans="1:9" x14ac:dyDescent="0.3">
      <c r="A36" t="s">
        <v>53</v>
      </c>
      <c r="B36" s="4">
        <v>8.7499999999999994E-2</v>
      </c>
      <c r="C36" s="4">
        <v>8.7400000000000005E-2</v>
      </c>
      <c r="D36" s="4">
        <v>8.7300000000000003E-2</v>
      </c>
      <c r="E36" s="4">
        <f>AVERAGE(Data_filter_paper_weights[[#This Row],[Weight_1]:[Weight_3]])</f>
        <v>8.7399999999999992E-2</v>
      </c>
      <c r="F36" s="4">
        <v>0.1313</v>
      </c>
      <c r="G36" s="4">
        <v>0.1313</v>
      </c>
      <c r="H36" s="4">
        <f>AVERAGE(Data_filter_paper_weights[[#This Row],[Dry_weight_of_sediment+filter_paper_1]:[Dry_weight_of_sediment+filter_paper_2]])</f>
        <v>0.1313</v>
      </c>
      <c r="I36" s="4">
        <f>Data_filter_paper_weights[[#This Row],[Average_weight_of_sediment+filter_paper]]-Data_filter_paper_weights[[#This Row],[Average_weight]]</f>
        <v>4.3900000000000008E-2</v>
      </c>
    </row>
    <row r="37" spans="1:9" x14ac:dyDescent="0.3">
      <c r="A37" t="s">
        <v>54</v>
      </c>
      <c r="B37" s="4">
        <v>9.0899999999999995E-2</v>
      </c>
      <c r="C37" s="4">
        <v>9.0800000000000006E-2</v>
      </c>
      <c r="D37" s="4">
        <v>9.0999999999999998E-2</v>
      </c>
      <c r="E37" s="4">
        <f>AVERAGE(Data_filter_paper_weights[[#This Row],[Weight_1]:[Weight_3]])</f>
        <v>9.0899999999999995E-2</v>
      </c>
      <c r="F37" s="4">
        <v>0.1691</v>
      </c>
      <c r="G37" s="4">
        <v>0.16889999999999999</v>
      </c>
      <c r="H37" s="4">
        <f>AVERAGE(Data_filter_paper_weights[[#This Row],[Dry_weight_of_sediment+filter_paper_1]:[Dry_weight_of_sediment+filter_paper_2]])</f>
        <v>0.16899999999999998</v>
      </c>
      <c r="I37" s="4">
        <f>Data_filter_paper_weights[[#This Row],[Average_weight_of_sediment+filter_paper]]-Data_filter_paper_weights[[#This Row],[Average_weight]]</f>
        <v>7.8099999999999989E-2</v>
      </c>
    </row>
    <row r="38" spans="1:9" x14ac:dyDescent="0.3">
      <c r="A38" t="s">
        <v>55</v>
      </c>
      <c r="B38" s="4">
        <v>9.0800000000000006E-2</v>
      </c>
      <c r="C38" s="4">
        <v>9.0700000000000003E-2</v>
      </c>
      <c r="D38" s="4">
        <v>9.06E-2</v>
      </c>
      <c r="E38" s="4">
        <f>AVERAGE(Data_filter_paper_weights[[#This Row],[Weight_1]:[Weight_3]])</f>
        <v>9.0700000000000003E-2</v>
      </c>
      <c r="F38" s="4">
        <v>9.2700000000000005E-2</v>
      </c>
      <c r="G38" s="4">
        <v>9.2799999999999994E-2</v>
      </c>
      <c r="H38" s="4">
        <f>AVERAGE(Data_filter_paper_weights[[#This Row],[Dry_weight_of_sediment+filter_paper_1]:[Dry_weight_of_sediment+filter_paper_2]])</f>
        <v>9.2749999999999999E-2</v>
      </c>
      <c r="I38" s="4">
        <f>Data_filter_paper_weights[[#This Row],[Average_weight_of_sediment+filter_paper]]-Data_filter_paper_weights[[#This Row],[Average_weight]]</f>
        <v>2.0499999999999963E-3</v>
      </c>
    </row>
    <row r="39" spans="1:9" x14ac:dyDescent="0.3">
      <c r="A39" t="s">
        <v>56</v>
      </c>
      <c r="B39" s="4">
        <v>8.4099999999999994E-2</v>
      </c>
      <c r="C39" s="4">
        <v>8.3900000000000002E-2</v>
      </c>
      <c r="D39" s="4">
        <v>8.4000000000000005E-2</v>
      </c>
      <c r="E39" s="4">
        <f>AVERAGE(Data_filter_paper_weights[[#This Row],[Weight_1]:[Weight_3]])</f>
        <v>8.4000000000000005E-2</v>
      </c>
      <c r="F39" s="4">
        <v>0.14960000000000001</v>
      </c>
      <c r="G39" s="4">
        <v>0.14960000000000001</v>
      </c>
      <c r="H39" s="4">
        <f>AVERAGE(Data_filter_paper_weights[[#This Row],[Dry_weight_of_sediment+filter_paper_1]:[Dry_weight_of_sediment+filter_paper_2]])</f>
        <v>0.14960000000000001</v>
      </c>
      <c r="I39" s="4">
        <f>Data_filter_paper_weights[[#This Row],[Average_weight_of_sediment+filter_paper]]-Data_filter_paper_weights[[#This Row],[Average_weight]]</f>
        <v>6.5600000000000006E-2</v>
      </c>
    </row>
    <row r="40" spans="1:9" x14ac:dyDescent="0.3">
      <c r="A40" t="s">
        <v>57</v>
      </c>
      <c r="B40" s="4">
        <v>8.77E-2</v>
      </c>
      <c r="C40" s="4">
        <v>8.7599999999999997E-2</v>
      </c>
      <c r="D40" s="4">
        <v>8.7400000000000005E-2</v>
      </c>
      <c r="E40" s="4">
        <f>AVERAGE(Data_filter_paper_weights[[#This Row],[Weight_1]:[Weight_3]])</f>
        <v>8.7566666666666682E-2</v>
      </c>
      <c r="F40" s="4">
        <v>0.13059999999999999</v>
      </c>
      <c r="G40" s="4">
        <v>0.1305</v>
      </c>
      <c r="H40" s="4">
        <f>AVERAGE(Data_filter_paper_weights[[#This Row],[Dry_weight_of_sediment+filter_paper_1]:[Dry_weight_of_sediment+filter_paper_2]])</f>
        <v>0.13055</v>
      </c>
      <c r="I40" s="4">
        <f>Data_filter_paper_weights[[#This Row],[Average_weight_of_sediment+filter_paper]]-Data_filter_paper_weights[[#This Row],[Average_weight]]</f>
        <v>4.2983333333333318E-2</v>
      </c>
    </row>
    <row r="41" spans="1:9" x14ac:dyDescent="0.3">
      <c r="A41" t="s">
        <v>58</v>
      </c>
      <c r="B41" s="4">
        <v>9.0899999999999995E-2</v>
      </c>
      <c r="C41" s="4">
        <v>9.0800000000000006E-2</v>
      </c>
      <c r="D41" s="4">
        <v>9.0999999999999998E-2</v>
      </c>
      <c r="E41" s="4">
        <f>AVERAGE(Data_filter_paper_weights[[#This Row],[Weight_1]:[Weight_3]])</f>
        <v>9.0899999999999995E-2</v>
      </c>
      <c r="F41" s="4">
        <v>0.13869999999999999</v>
      </c>
      <c r="G41" s="4">
        <v>0.13869999999999999</v>
      </c>
      <c r="H41" s="4">
        <f>AVERAGE(Data_filter_paper_weights[[#This Row],[Dry_weight_of_sediment+filter_paper_1]:[Dry_weight_of_sediment+filter_paper_2]])</f>
        <v>0.13869999999999999</v>
      </c>
      <c r="I41" s="4">
        <f>Data_filter_paper_weights[[#This Row],[Average_weight_of_sediment+filter_paper]]-Data_filter_paper_weights[[#This Row],[Average_weight]]</f>
        <v>4.7799999999999995E-2</v>
      </c>
    </row>
    <row r="42" spans="1:9" x14ac:dyDescent="0.3">
      <c r="A42" t="s">
        <v>59</v>
      </c>
      <c r="B42" s="4">
        <v>8.3900000000000002E-2</v>
      </c>
      <c r="C42" s="4">
        <v>8.4000000000000005E-2</v>
      </c>
      <c r="D42" s="4">
        <v>8.4000000000000005E-2</v>
      </c>
      <c r="E42" s="4">
        <f>AVERAGE(Data_filter_paper_weights[[#This Row],[Weight_1]:[Weight_3]])</f>
        <v>8.3966666666666676E-2</v>
      </c>
      <c r="F42" s="4">
        <v>0.1938</v>
      </c>
      <c r="G42" s="4">
        <v>0.1938</v>
      </c>
      <c r="H42" s="4">
        <f>AVERAGE(Data_filter_paper_weights[[#This Row],[Dry_weight_of_sediment+filter_paper_1]:[Dry_weight_of_sediment+filter_paper_2]])</f>
        <v>0.1938</v>
      </c>
      <c r="I42" s="4">
        <f>Data_filter_paper_weights[[#This Row],[Average_weight_of_sediment+filter_paper]]-Data_filter_paper_weights[[#This Row],[Average_weight]]</f>
        <v>0.10983333333333332</v>
      </c>
    </row>
    <row r="43" spans="1:9" x14ac:dyDescent="0.3">
      <c r="A43" t="s">
        <v>60</v>
      </c>
      <c r="B43" s="4">
        <v>8.3500000000000005E-2</v>
      </c>
      <c r="C43" s="4">
        <v>8.3599999999999994E-2</v>
      </c>
      <c r="D43" s="4">
        <v>8.3699999999999997E-2</v>
      </c>
      <c r="E43" s="4">
        <f>AVERAGE(Data_filter_paper_weights[[#This Row],[Weight_1]:[Weight_3]])</f>
        <v>8.3600000000000008E-2</v>
      </c>
      <c r="F43" s="4">
        <v>0.20039999999999999</v>
      </c>
      <c r="G43" s="4">
        <v>0.20039999999999999</v>
      </c>
      <c r="H43" s="4">
        <f>AVERAGE(Data_filter_paper_weights[[#This Row],[Dry_weight_of_sediment+filter_paper_1]:[Dry_weight_of_sediment+filter_paper_2]])</f>
        <v>0.20039999999999999</v>
      </c>
      <c r="I43" s="4">
        <f>Data_filter_paper_weights[[#This Row],[Average_weight_of_sediment+filter_paper]]-Data_filter_paper_weights[[#This Row],[Average_weight]]</f>
        <v>0.11679999999999999</v>
      </c>
    </row>
    <row r="44" spans="1:9" x14ac:dyDescent="0.3">
      <c r="A44" t="s">
        <v>61</v>
      </c>
      <c r="B44" s="4">
        <v>8.8599999999999998E-2</v>
      </c>
      <c r="C44" s="4">
        <v>8.8499999999999995E-2</v>
      </c>
      <c r="D44" s="4">
        <v>8.8400000000000006E-2</v>
      </c>
      <c r="E44" s="4">
        <f>AVERAGE(Data_filter_paper_weights[[#This Row],[Weight_1]:[Weight_3]])</f>
        <v>8.8499999999999981E-2</v>
      </c>
      <c r="F44" s="4">
        <v>0.14419999999999999</v>
      </c>
      <c r="G44" s="4">
        <v>0.14419999999999999</v>
      </c>
      <c r="H44" s="4">
        <f>AVERAGE(Data_filter_paper_weights[[#This Row],[Dry_weight_of_sediment+filter_paper_1]:[Dry_weight_of_sediment+filter_paper_2]])</f>
        <v>0.14419999999999999</v>
      </c>
      <c r="I44" s="4">
        <f>Data_filter_paper_weights[[#This Row],[Average_weight_of_sediment+filter_paper]]-Data_filter_paper_weights[[#This Row],[Average_weight]]</f>
        <v>5.5700000000000013E-2</v>
      </c>
    </row>
    <row r="45" spans="1:9" x14ac:dyDescent="0.3">
      <c r="A45" t="s">
        <v>62</v>
      </c>
      <c r="B45" s="4">
        <v>8.6599999999999996E-2</v>
      </c>
      <c r="C45" s="4">
        <v>8.6699999999999999E-2</v>
      </c>
      <c r="D45" s="4">
        <v>8.6800000000000002E-2</v>
      </c>
      <c r="E45" s="4">
        <f>AVERAGE(Data_filter_paper_weights[[#This Row],[Weight_1]:[Weight_3]])</f>
        <v>8.6699999999999999E-2</v>
      </c>
      <c r="F45" s="4">
        <v>0.15190000000000001</v>
      </c>
      <c r="G45" s="4">
        <v>0.152</v>
      </c>
      <c r="H45" s="4">
        <f>AVERAGE(Data_filter_paper_weights[[#This Row],[Dry_weight_of_sediment+filter_paper_1]:[Dry_weight_of_sediment+filter_paper_2]])</f>
        <v>0.15195</v>
      </c>
      <c r="I45" s="4">
        <f>Data_filter_paper_weights[[#This Row],[Average_weight_of_sediment+filter_paper]]-Data_filter_paper_weights[[#This Row],[Average_weight]]</f>
        <v>6.5250000000000002E-2</v>
      </c>
    </row>
    <row r="46" spans="1:9" x14ac:dyDescent="0.3">
      <c r="A46" t="s">
        <v>63</v>
      </c>
      <c r="B46" s="4">
        <v>8.8800000000000004E-2</v>
      </c>
      <c r="C46" s="4">
        <v>8.8700000000000001E-2</v>
      </c>
      <c r="D46" s="4">
        <v>8.8499999999999995E-2</v>
      </c>
      <c r="E46" s="4">
        <f>AVERAGE(Data_filter_paper_weights[[#This Row],[Weight_1]:[Weight_3]])</f>
        <v>8.8666666666666671E-2</v>
      </c>
      <c r="F46" s="4">
        <v>0.16389999999999999</v>
      </c>
      <c r="G46" s="4">
        <v>0.16400000000000001</v>
      </c>
      <c r="H46" s="4">
        <f>AVERAGE(Data_filter_paper_weights[[#This Row],[Dry_weight_of_sediment+filter_paper_1]:[Dry_weight_of_sediment+filter_paper_2]])</f>
        <v>0.16394999999999998</v>
      </c>
      <c r="I46" s="4">
        <f>Data_filter_paper_weights[[#This Row],[Average_weight_of_sediment+filter_paper]]-Data_filter_paper_weights[[#This Row],[Average_weight]]</f>
        <v>7.5283333333333313E-2</v>
      </c>
    </row>
    <row r="47" spans="1:9" x14ac:dyDescent="0.3">
      <c r="A47" t="s">
        <v>64</v>
      </c>
      <c r="B47" s="4">
        <v>8.7499999999999994E-2</v>
      </c>
      <c r="C47" s="4">
        <v>8.7400000000000005E-2</v>
      </c>
      <c r="D47" s="4">
        <v>8.7300000000000003E-2</v>
      </c>
      <c r="E47" s="4">
        <f>AVERAGE(Data_filter_paper_weights[[#This Row],[Weight_1]:[Weight_3]])</f>
        <v>8.7399999999999992E-2</v>
      </c>
      <c r="F47" s="4">
        <v>0.1439</v>
      </c>
      <c r="G47" s="4">
        <v>0.14410000000000001</v>
      </c>
      <c r="H47" s="4">
        <f>AVERAGE(Data_filter_paper_weights[[#This Row],[Dry_weight_of_sediment+filter_paper_1]:[Dry_weight_of_sediment+filter_paper_2]])</f>
        <v>0.14400000000000002</v>
      </c>
      <c r="I47" s="4">
        <f>Data_filter_paper_weights[[#This Row],[Average_weight_of_sediment+filter_paper]]-Data_filter_paper_weights[[#This Row],[Average_weight]]</f>
        <v>5.6600000000000025E-2</v>
      </c>
    </row>
    <row r="48" spans="1:9" x14ac:dyDescent="0.3">
      <c r="A48" t="s">
        <v>65</v>
      </c>
      <c r="B48" s="4">
        <v>9.0899999999999995E-2</v>
      </c>
      <c r="C48" s="4">
        <v>9.0800000000000006E-2</v>
      </c>
      <c r="D48" s="4">
        <v>9.0999999999999998E-2</v>
      </c>
      <c r="E48" s="4">
        <f>AVERAGE(Data_filter_paper_weights[[#This Row],[Weight_1]:[Weight_3]])</f>
        <v>9.0899999999999995E-2</v>
      </c>
      <c r="F48" s="4">
        <v>0.1176</v>
      </c>
      <c r="G48" s="4">
        <v>0.1177</v>
      </c>
      <c r="H48" s="4">
        <f>AVERAGE(Data_filter_paper_weights[[#This Row],[Dry_weight_of_sediment+filter_paper_1]:[Dry_weight_of_sediment+filter_paper_2]])</f>
        <v>0.11765</v>
      </c>
      <c r="I48" s="4">
        <f>Data_filter_paper_weights[[#This Row],[Average_weight_of_sediment+filter_paper]]-Data_filter_paper_weights[[#This Row],[Average_weight]]</f>
        <v>2.675000000000001E-2</v>
      </c>
    </row>
    <row r="49" spans="1:9" x14ac:dyDescent="0.3">
      <c r="A49" t="s">
        <v>66</v>
      </c>
      <c r="B49" s="4">
        <v>9.0800000000000006E-2</v>
      </c>
      <c r="C49" s="4">
        <v>9.0700000000000003E-2</v>
      </c>
      <c r="D49" s="4">
        <v>9.06E-2</v>
      </c>
      <c r="E49" s="4">
        <f>AVERAGE(Data_filter_paper_weights[[#This Row],[Weight_1]:[Weight_3]])</f>
        <v>9.0700000000000003E-2</v>
      </c>
      <c r="F49" s="4">
        <v>0.15859999999999999</v>
      </c>
      <c r="G49" s="4">
        <v>0.15859999999999999</v>
      </c>
      <c r="H49" s="4">
        <f>AVERAGE(Data_filter_paper_weights[[#This Row],[Dry_weight_of_sediment+filter_paper_1]:[Dry_weight_of_sediment+filter_paper_2]])</f>
        <v>0.15859999999999999</v>
      </c>
      <c r="I49" s="4">
        <f>Data_filter_paper_weights[[#This Row],[Average_weight_of_sediment+filter_paper]]-Data_filter_paper_weights[[#This Row],[Average_weight]]</f>
        <v>6.7899999999999988E-2</v>
      </c>
    </row>
    <row r="50" spans="1:9" x14ac:dyDescent="0.3">
      <c r="A50" t="s">
        <v>67</v>
      </c>
      <c r="B50" s="4">
        <v>9.0800000000000006E-2</v>
      </c>
      <c r="C50" s="4">
        <v>9.0999999999999998E-2</v>
      </c>
      <c r="D50" s="4">
        <v>9.0899999999999995E-2</v>
      </c>
      <c r="E50" s="4">
        <f>AVERAGE(Data_filter_paper_weights[[#This Row],[Weight_1]:[Weight_3]])</f>
        <v>9.0899999999999995E-2</v>
      </c>
      <c r="F50" s="4">
        <v>0.15190000000000001</v>
      </c>
      <c r="G50" s="4">
        <v>0.15210000000000001</v>
      </c>
      <c r="H50" s="4">
        <f>AVERAGE(Data_filter_paper_weights[[#This Row],[Dry_weight_of_sediment+filter_paper_1]:[Dry_weight_of_sediment+filter_paper_2]])</f>
        <v>0.15200000000000002</v>
      </c>
      <c r="I50" s="4">
        <f>Data_filter_paper_weights[[#This Row],[Average_weight_of_sediment+filter_paper]]-Data_filter_paper_weights[[#This Row],[Average_weight]]</f>
        <v>6.1100000000000029E-2</v>
      </c>
    </row>
    <row r="51" spans="1:9" x14ac:dyDescent="0.3">
      <c r="A51" t="s">
        <v>68</v>
      </c>
      <c r="B51" s="4">
        <v>8.4000000000000005E-2</v>
      </c>
      <c r="C51" s="4">
        <v>8.4000000000000005E-2</v>
      </c>
      <c r="D51" s="4">
        <v>8.3900000000000002E-2</v>
      </c>
      <c r="E51" s="4">
        <f>AVERAGE(Data_filter_paper_weights[[#This Row],[Weight_1]:[Weight_3]])</f>
        <v>8.3966666666666676E-2</v>
      </c>
      <c r="F51" s="4">
        <v>0.114</v>
      </c>
      <c r="G51" s="4">
        <v>0.11409999999999999</v>
      </c>
      <c r="H51" s="4">
        <f>AVERAGE(Data_filter_paper_weights[[#This Row],[Dry_weight_of_sediment+filter_paper_1]:[Dry_weight_of_sediment+filter_paper_2]])</f>
        <v>0.11405</v>
      </c>
      <c r="I51" s="4">
        <f>Data_filter_paper_weights[[#This Row],[Average_weight_of_sediment+filter_paper]]-Data_filter_paper_weights[[#This Row],[Average_weight]]</f>
        <v>3.0083333333333323E-2</v>
      </c>
    </row>
    <row r="52" spans="1:9" x14ac:dyDescent="0.3">
      <c r="A52" t="s">
        <v>69</v>
      </c>
      <c r="B52" s="4">
        <v>8.3400000000000002E-2</v>
      </c>
      <c r="C52" s="4">
        <v>8.3500000000000005E-2</v>
      </c>
      <c r="D52" s="4">
        <v>8.3400000000000002E-2</v>
      </c>
      <c r="E52" s="4">
        <f>AVERAGE(Data_filter_paper_weights[[#This Row],[Weight_1]:[Weight_3]])</f>
        <v>8.3433333333333318E-2</v>
      </c>
      <c r="F52" s="4">
        <v>0.15479999999999999</v>
      </c>
      <c r="G52" s="4">
        <v>0.1547</v>
      </c>
      <c r="H52" s="4">
        <f>AVERAGE(Data_filter_paper_weights[[#This Row],[Dry_weight_of_sediment+filter_paper_1]:[Dry_weight_of_sediment+filter_paper_2]])</f>
        <v>0.15475</v>
      </c>
      <c r="I52" s="4">
        <f>Data_filter_paper_weights[[#This Row],[Average_weight_of_sediment+filter_paper]]-Data_filter_paper_weights[[#This Row],[Average_weight]]</f>
        <v>7.1316666666666681E-2</v>
      </c>
    </row>
    <row r="53" spans="1:9" x14ac:dyDescent="0.3">
      <c r="A53" t="s">
        <v>70</v>
      </c>
      <c r="B53" s="4">
        <v>8.3500000000000005E-2</v>
      </c>
      <c r="C53" s="4">
        <v>8.3599999999999994E-2</v>
      </c>
      <c r="D53" s="4">
        <v>8.3699999999999997E-2</v>
      </c>
      <c r="E53" s="4">
        <f>AVERAGE(Data_filter_paper_weights[[#This Row],[Weight_1]:[Weight_3]])</f>
        <v>8.3600000000000008E-2</v>
      </c>
      <c r="F53" s="4">
        <v>0.49159999999999998</v>
      </c>
      <c r="G53" s="4">
        <v>0.49159999999999998</v>
      </c>
      <c r="H53" s="4">
        <f>AVERAGE(Data_filter_paper_weights[[#This Row],[Dry_weight_of_sediment+filter_paper_1]:[Dry_weight_of_sediment+filter_paper_2]])</f>
        <v>0.49159999999999998</v>
      </c>
      <c r="I53" s="4">
        <f>Data_filter_paper_weights[[#This Row],[Average_weight_of_sediment+filter_paper]]-Data_filter_paper_weights[[#This Row],[Average_weight]]</f>
        <v>0.40799999999999997</v>
      </c>
    </row>
    <row r="54" spans="1:9" x14ac:dyDescent="0.3">
      <c r="A54" t="s">
        <v>71</v>
      </c>
      <c r="B54" s="4">
        <v>8.43E-2</v>
      </c>
      <c r="C54" s="4">
        <v>8.4199999999999997E-2</v>
      </c>
      <c r="D54" s="4">
        <v>8.4099999999999994E-2</v>
      </c>
      <c r="E54" s="4">
        <f>AVERAGE(Data_filter_paper_weights[[#This Row],[Weight_1]:[Weight_3]])</f>
        <v>8.4199999999999997E-2</v>
      </c>
      <c r="F54" s="4">
        <v>0.14510000000000001</v>
      </c>
      <c r="G54" s="4">
        <v>0.18509999999999999</v>
      </c>
      <c r="H54" s="4">
        <f>AVERAGE(Data_filter_paper_weights[[#This Row],[Dry_weight_of_sediment+filter_paper_1]:[Dry_weight_of_sediment+filter_paper_2]])</f>
        <v>0.1651</v>
      </c>
      <c r="I54" s="4">
        <f>Data_filter_paper_weights[[#This Row],[Average_weight_of_sediment+filter_paper]]-Data_filter_paper_weights[[#This Row],[Average_weight]]</f>
        <v>8.09E-2</v>
      </c>
    </row>
    <row r="55" spans="1:9" x14ac:dyDescent="0.3">
      <c r="A55" t="s">
        <v>72</v>
      </c>
      <c r="B55" s="4">
        <v>8.4199999999999997E-2</v>
      </c>
      <c r="C55" s="4">
        <v>8.43E-2</v>
      </c>
      <c r="D55" s="4">
        <v>8.4199999999999997E-2</v>
      </c>
      <c r="E55" s="4">
        <f>AVERAGE(Data_filter_paper_weights[[#This Row],[Weight_1]:[Weight_3]])</f>
        <v>8.4233333333333327E-2</v>
      </c>
      <c r="F55" s="4">
        <v>0.13270000000000001</v>
      </c>
      <c r="G55" s="4">
        <v>0.13270000000000001</v>
      </c>
      <c r="H55" s="4">
        <f>AVERAGE(Data_filter_paper_weights[[#This Row],[Dry_weight_of_sediment+filter_paper_1]:[Dry_weight_of_sediment+filter_paper_2]])</f>
        <v>0.13270000000000001</v>
      </c>
      <c r="I55" s="4">
        <f>Data_filter_paper_weights[[#This Row],[Average_weight_of_sediment+filter_paper]]-Data_filter_paper_weights[[#This Row],[Average_weight]]</f>
        <v>4.8466666666666686E-2</v>
      </c>
    </row>
    <row r="56" spans="1:9" x14ac:dyDescent="0.3">
      <c r="A56" t="s">
        <v>73</v>
      </c>
      <c r="B56" s="4">
        <v>8.4099999999999994E-2</v>
      </c>
      <c r="C56" s="4">
        <v>8.3900000000000002E-2</v>
      </c>
      <c r="D56" s="4">
        <v>8.4000000000000005E-2</v>
      </c>
      <c r="E56" s="4">
        <f>AVERAGE(Data_filter_paper_weights[[#This Row],[Weight_1]:[Weight_3]])</f>
        <v>8.4000000000000005E-2</v>
      </c>
      <c r="F56" s="4">
        <v>0.15559999999999999</v>
      </c>
      <c r="G56" s="4">
        <v>0.15570000000000001</v>
      </c>
      <c r="H56" s="4">
        <f>AVERAGE(Data_filter_paper_weights[[#This Row],[Dry_weight_of_sediment+filter_paper_1]:[Dry_weight_of_sediment+filter_paper_2]])</f>
        <v>0.15565000000000001</v>
      </c>
      <c r="I56" s="4">
        <f>Data_filter_paper_weights[[#This Row],[Average_weight_of_sediment+filter_paper]]-Data_filter_paper_weights[[#This Row],[Average_weight]]</f>
        <v>7.1650000000000005E-2</v>
      </c>
    </row>
    <row r="57" spans="1:9" x14ac:dyDescent="0.3">
      <c r="A57" t="s">
        <v>74</v>
      </c>
      <c r="B57" s="4">
        <v>9.0800000000000006E-2</v>
      </c>
      <c r="C57" s="4">
        <v>9.0700000000000003E-2</v>
      </c>
      <c r="D57" s="4">
        <v>9.06E-2</v>
      </c>
      <c r="E57" s="4">
        <f>AVERAGE(Data_filter_paper_weights[[#This Row],[Weight_1]:[Weight_3]])</f>
        <v>9.0700000000000003E-2</v>
      </c>
      <c r="F57" s="4">
        <v>0.17230000000000001</v>
      </c>
      <c r="G57" s="4">
        <v>0.17230000000000001</v>
      </c>
      <c r="H57" s="4">
        <f>AVERAGE(Data_filter_paper_weights[[#This Row],[Dry_weight_of_sediment+filter_paper_1]:[Dry_weight_of_sediment+filter_paper_2]])</f>
        <v>0.17230000000000001</v>
      </c>
      <c r="I57" s="4">
        <f>Data_filter_paper_weights[[#This Row],[Average_weight_of_sediment+filter_paper]]-Data_filter_paper_weights[[#This Row],[Average_weight]]</f>
        <v>8.1600000000000006E-2</v>
      </c>
    </row>
    <row r="58" spans="1:9" x14ac:dyDescent="0.3">
      <c r="A58" t="s">
        <v>75</v>
      </c>
      <c r="B58" s="4">
        <v>8.4099999999999994E-2</v>
      </c>
      <c r="C58" s="4">
        <v>8.3900000000000002E-2</v>
      </c>
      <c r="D58" s="4">
        <v>8.4000000000000005E-2</v>
      </c>
      <c r="E58" s="4">
        <f>AVERAGE(Data_filter_paper_weights[[#This Row],[Weight_1]:[Weight_3]])</f>
        <v>8.4000000000000005E-2</v>
      </c>
      <c r="F58" s="4">
        <v>0.14130000000000001</v>
      </c>
      <c r="G58" s="4">
        <v>0.1414</v>
      </c>
      <c r="H58" s="4">
        <f>AVERAGE(Data_filter_paper_weights[[#This Row],[Dry_weight_of_sediment+filter_paper_1]:[Dry_weight_of_sediment+filter_paper_2]])</f>
        <v>0.14135</v>
      </c>
      <c r="I58" s="4">
        <f>Data_filter_paper_weights[[#This Row],[Average_weight_of_sediment+filter_paper]]-Data_filter_paper_weights[[#This Row],[Average_weight]]</f>
        <v>5.7349999999999998E-2</v>
      </c>
    </row>
    <row r="59" spans="1:9" x14ac:dyDescent="0.3">
      <c r="A59" t="s">
        <v>76</v>
      </c>
      <c r="B59" s="4">
        <v>8.77E-2</v>
      </c>
      <c r="C59" s="4">
        <v>8.7599999999999997E-2</v>
      </c>
      <c r="D59" s="4">
        <v>8.7400000000000005E-2</v>
      </c>
      <c r="E59" s="4">
        <f>AVERAGE(Data_filter_paper_weights[[#This Row],[Weight_1]:[Weight_3]])</f>
        <v>8.7566666666666682E-2</v>
      </c>
      <c r="F59" s="4">
        <v>0.13020000000000001</v>
      </c>
      <c r="G59" s="4">
        <v>0.1303</v>
      </c>
      <c r="H59" s="4">
        <f>AVERAGE(Data_filter_paper_weights[[#This Row],[Dry_weight_of_sediment+filter_paper_1]:[Dry_weight_of_sediment+filter_paper_2]])</f>
        <v>0.13025</v>
      </c>
      <c r="I59" s="4">
        <f>Data_filter_paper_weights[[#This Row],[Average_weight_of_sediment+filter_paper]]-Data_filter_paper_weights[[#This Row],[Average_weight]]</f>
        <v>4.2683333333333323E-2</v>
      </c>
    </row>
    <row r="60" spans="1:9" x14ac:dyDescent="0.3">
      <c r="A60" t="s">
        <v>77</v>
      </c>
      <c r="B60" s="4">
        <v>9.0899999999999995E-2</v>
      </c>
      <c r="C60" s="4">
        <v>9.0800000000000006E-2</v>
      </c>
      <c r="D60" s="4">
        <v>9.0999999999999998E-2</v>
      </c>
      <c r="E60" s="4">
        <f>AVERAGE(Data_filter_paper_weights[[#This Row],[Weight_1]:[Weight_3]])</f>
        <v>9.0899999999999995E-2</v>
      </c>
      <c r="F60" s="4">
        <v>0.15989999999999999</v>
      </c>
      <c r="G60" s="4">
        <v>0.16</v>
      </c>
      <c r="H60" s="4">
        <f>AVERAGE(Data_filter_paper_weights[[#This Row],[Dry_weight_of_sediment+filter_paper_1]:[Dry_weight_of_sediment+filter_paper_2]])</f>
        <v>0.15994999999999998</v>
      </c>
      <c r="I60" s="4">
        <f>Data_filter_paper_weights[[#This Row],[Average_weight_of_sediment+filter_paper]]-Data_filter_paper_weights[[#This Row],[Average_weight]]</f>
        <v>6.9049999999999986E-2</v>
      </c>
    </row>
    <row r="61" spans="1:9" x14ac:dyDescent="0.3">
      <c r="A61" t="s">
        <v>78</v>
      </c>
      <c r="B61" s="4">
        <v>8.3900000000000002E-2</v>
      </c>
      <c r="C61" s="4">
        <v>8.4000000000000005E-2</v>
      </c>
      <c r="D61" s="4">
        <v>8.4000000000000005E-2</v>
      </c>
      <c r="E61" s="4">
        <f>AVERAGE(Data_filter_paper_weights[[#This Row],[Weight_1]:[Weight_3]])</f>
        <v>8.3966666666666676E-2</v>
      </c>
      <c r="F61" s="4">
        <v>0.20979999999999999</v>
      </c>
      <c r="G61" s="4">
        <v>0.20979999999999999</v>
      </c>
      <c r="H61" s="4">
        <f>AVERAGE(Data_filter_paper_weights[[#This Row],[Dry_weight_of_sediment+filter_paper_1]:[Dry_weight_of_sediment+filter_paper_2]])</f>
        <v>0.20979999999999999</v>
      </c>
      <c r="I61" s="4">
        <f>Data_filter_paper_weights[[#This Row],[Average_weight_of_sediment+filter_paper]]-Data_filter_paper_weights[[#This Row],[Average_weight]]</f>
        <v>0.1258333333333333</v>
      </c>
    </row>
    <row r="62" spans="1:9" x14ac:dyDescent="0.3">
      <c r="A62" t="s">
        <v>79</v>
      </c>
      <c r="B62" s="4">
        <v>8.3500000000000005E-2</v>
      </c>
      <c r="C62" s="4">
        <v>8.3599999999999994E-2</v>
      </c>
      <c r="D62" s="4">
        <v>8.3699999999999997E-2</v>
      </c>
      <c r="E62" s="4">
        <f>AVERAGE(Data_filter_paper_weights[[#This Row],[Weight_1]:[Weight_3]])</f>
        <v>8.3600000000000008E-2</v>
      </c>
      <c r="F62" s="4">
        <v>0.12709999999999999</v>
      </c>
      <c r="G62" s="4">
        <v>0.12720000000000001</v>
      </c>
      <c r="H62" s="4">
        <f>AVERAGE(Data_filter_paper_weights[[#This Row],[Dry_weight_of_sediment+filter_paper_1]:[Dry_weight_of_sediment+filter_paper_2]])</f>
        <v>0.12714999999999999</v>
      </c>
      <c r="I62" s="4">
        <f>Data_filter_paper_weights[[#This Row],[Average_weight_of_sediment+filter_paper]]-Data_filter_paper_weights[[#This Row],[Average_weight]]</f>
        <v>4.3549999999999978E-2</v>
      </c>
    </row>
    <row r="63" spans="1:9" x14ac:dyDescent="0.3">
      <c r="A63" t="s">
        <v>80</v>
      </c>
      <c r="B63" s="4">
        <v>8.8599999999999998E-2</v>
      </c>
      <c r="C63" s="4">
        <v>8.8499999999999995E-2</v>
      </c>
      <c r="D63" s="4">
        <v>8.8400000000000006E-2</v>
      </c>
      <c r="E63" s="4">
        <f>AVERAGE(Data_filter_paper_weights[[#This Row],[Weight_1]:[Weight_3]])</f>
        <v>8.8499999999999981E-2</v>
      </c>
      <c r="F63" s="4">
        <v>0.14979999999999999</v>
      </c>
      <c r="G63" s="4">
        <v>0.14990000000000001</v>
      </c>
      <c r="H63" s="4">
        <f>AVERAGE(Data_filter_paper_weights[[#This Row],[Dry_weight_of_sediment+filter_paper_1]:[Dry_weight_of_sediment+filter_paper_2]])</f>
        <v>0.14984999999999998</v>
      </c>
      <c r="I63" s="4">
        <f>Data_filter_paper_weights[[#This Row],[Average_weight_of_sediment+filter_paper]]-Data_filter_paper_weights[[#This Row],[Average_weight]]</f>
        <v>6.1350000000000002E-2</v>
      </c>
    </row>
    <row r="64" spans="1:9" x14ac:dyDescent="0.3">
      <c r="A64" t="s">
        <v>81</v>
      </c>
      <c r="B64" s="4">
        <v>8.6599999999999996E-2</v>
      </c>
      <c r="C64" s="4">
        <v>8.6699999999999999E-2</v>
      </c>
      <c r="D64" s="4">
        <v>8.6800000000000002E-2</v>
      </c>
      <c r="E64" s="4">
        <f>AVERAGE(Data_filter_paper_weights[[#This Row],[Weight_1]:[Weight_3]])</f>
        <v>8.6699999999999999E-2</v>
      </c>
      <c r="F64" s="4">
        <v>0.1225</v>
      </c>
      <c r="G64" s="4">
        <v>0.1226</v>
      </c>
      <c r="H64" s="4">
        <f>AVERAGE(Data_filter_paper_weights[[#This Row],[Dry_weight_of_sediment+filter_paper_1]:[Dry_weight_of_sediment+filter_paper_2]])</f>
        <v>0.12254999999999999</v>
      </c>
      <c r="I64" s="4">
        <f>Data_filter_paper_weights[[#This Row],[Average_weight_of_sediment+filter_paper]]-Data_filter_paper_weights[[#This Row],[Average_weight]]</f>
        <v>3.5849999999999993E-2</v>
      </c>
    </row>
    <row r="65" spans="1:9" x14ac:dyDescent="0.3">
      <c r="A65" t="s">
        <v>82</v>
      </c>
      <c r="B65" s="4">
        <v>8.8800000000000004E-2</v>
      </c>
      <c r="C65" s="4">
        <v>8.8700000000000001E-2</v>
      </c>
      <c r="D65" s="4">
        <v>8.8499999999999995E-2</v>
      </c>
      <c r="E65" s="4">
        <f>AVERAGE(Data_filter_paper_weights[[#This Row],[Weight_1]:[Weight_3]])</f>
        <v>8.8666666666666671E-2</v>
      </c>
      <c r="F65" s="4">
        <v>0.19520000000000001</v>
      </c>
      <c r="G65" s="4">
        <v>0.1953</v>
      </c>
      <c r="H65" s="4">
        <f>AVERAGE(Data_filter_paper_weights[[#This Row],[Dry_weight_of_sediment+filter_paper_1]:[Dry_weight_of_sediment+filter_paper_2]])</f>
        <v>0.19525000000000001</v>
      </c>
      <c r="I65" s="4">
        <f>Data_filter_paper_weights[[#This Row],[Average_weight_of_sediment+filter_paper]]-Data_filter_paper_weights[[#This Row],[Average_weight]]</f>
        <v>0.10658333333333334</v>
      </c>
    </row>
    <row r="66" spans="1:9" x14ac:dyDescent="0.3">
      <c r="A66" t="s">
        <v>83</v>
      </c>
      <c r="B66" s="4">
        <v>8.7499999999999994E-2</v>
      </c>
      <c r="C66" s="4">
        <v>8.7400000000000005E-2</v>
      </c>
      <c r="D66" s="4">
        <v>8.7300000000000003E-2</v>
      </c>
      <c r="E66" s="4">
        <f>AVERAGE(Data_filter_paper_weights[[#This Row],[Weight_1]:[Weight_3]])</f>
        <v>8.7399999999999992E-2</v>
      </c>
      <c r="F66" s="4">
        <v>0.13250000000000001</v>
      </c>
      <c r="G66" s="4">
        <v>0.1326</v>
      </c>
      <c r="H66" s="4">
        <f>AVERAGE(Data_filter_paper_weights[[#This Row],[Dry_weight_of_sediment+filter_paper_1]:[Dry_weight_of_sediment+filter_paper_2]])</f>
        <v>0.13255</v>
      </c>
      <c r="I66" s="4">
        <f>Data_filter_paper_weights[[#This Row],[Average_weight_of_sediment+filter_paper]]-Data_filter_paper_weights[[#This Row],[Average_weight]]</f>
        <v>4.515000000000001E-2</v>
      </c>
    </row>
    <row r="67" spans="1:9" x14ac:dyDescent="0.3">
      <c r="A67" t="s">
        <v>84</v>
      </c>
      <c r="B67" s="4">
        <v>9.0800000000000006E-2</v>
      </c>
      <c r="C67" s="4">
        <v>9.0700000000000003E-2</v>
      </c>
      <c r="D67" s="4">
        <v>9.06E-2</v>
      </c>
      <c r="E67" s="4">
        <f>AVERAGE(Data_filter_paper_weights[[#This Row],[Weight_1]:[Weight_3]])</f>
        <v>9.0700000000000003E-2</v>
      </c>
      <c r="F67" s="4">
        <v>0.1343</v>
      </c>
      <c r="G67" s="4">
        <v>0.1343</v>
      </c>
      <c r="H67" s="4">
        <f>AVERAGE(Data_filter_paper_weights[[#This Row],[Dry_weight_of_sediment+filter_paper_1]:[Dry_weight_of_sediment+filter_paper_2]])</f>
        <v>0.1343</v>
      </c>
      <c r="I67" s="4">
        <f>Data_filter_paper_weights[[#This Row],[Average_weight_of_sediment+filter_paper]]-Data_filter_paper_weights[[#This Row],[Average_weight]]</f>
        <v>4.36E-2</v>
      </c>
    </row>
    <row r="68" spans="1:9" x14ac:dyDescent="0.3">
      <c r="A68" t="s">
        <v>85</v>
      </c>
      <c r="B68" s="4">
        <v>9.0899999999999995E-2</v>
      </c>
      <c r="C68" s="4">
        <v>9.0800000000000006E-2</v>
      </c>
      <c r="D68" s="4">
        <v>9.0999999999999998E-2</v>
      </c>
      <c r="E68" s="4">
        <f>AVERAGE(Data_filter_paper_weights[[#This Row],[Weight_1]:[Weight_3]])</f>
        <v>9.0899999999999995E-2</v>
      </c>
      <c r="F68" s="4">
        <v>0.12709999999999999</v>
      </c>
      <c r="G68" s="4">
        <v>0.127</v>
      </c>
      <c r="H68" s="4">
        <f>AVERAGE(Data_filter_paper_weights[[#This Row],[Dry_weight_of_sediment+filter_paper_1]:[Dry_weight_of_sediment+filter_paper_2]])</f>
        <v>0.12705</v>
      </c>
      <c r="I68" s="4">
        <f>Data_filter_paper_weights[[#This Row],[Average_weight_of_sediment+filter_paper]]-Data_filter_paper_weights[[#This Row],[Average_weight]]</f>
        <v>3.6150000000000002E-2</v>
      </c>
    </row>
    <row r="69" spans="1:9" x14ac:dyDescent="0.3">
      <c r="A69" t="s">
        <v>86</v>
      </c>
      <c r="B69" s="4">
        <v>8.3900000000000002E-2</v>
      </c>
      <c r="C69" s="4">
        <v>8.4000000000000005E-2</v>
      </c>
      <c r="D69" s="4">
        <v>8.4000000000000005E-2</v>
      </c>
      <c r="E69" s="4">
        <f>AVERAGE(Data_filter_paper_weights[[#This Row],[Weight_1]:[Weight_3]])</f>
        <v>8.3966666666666676E-2</v>
      </c>
      <c r="F69" s="4">
        <v>0.21990000000000001</v>
      </c>
      <c r="G69" s="4">
        <v>0.21990000000000001</v>
      </c>
      <c r="H69" s="4">
        <f>AVERAGE(Data_filter_paper_weights[[#This Row],[Dry_weight_of_sediment+filter_paper_1]:[Dry_weight_of_sediment+filter_paper_2]])</f>
        <v>0.21990000000000001</v>
      </c>
      <c r="I69" s="4">
        <f>Data_filter_paper_weights[[#This Row],[Average_weight_of_sediment+filter_paper]]-Data_filter_paper_weights[[#This Row],[Average_weight]]</f>
        <v>0.13593333333333335</v>
      </c>
    </row>
    <row r="70" spans="1:9" x14ac:dyDescent="0.3">
      <c r="A70" t="s">
        <v>87</v>
      </c>
      <c r="B70" s="4">
        <v>8.3500000000000005E-2</v>
      </c>
      <c r="C70" s="4">
        <v>8.3599999999999994E-2</v>
      </c>
      <c r="D70" s="4">
        <v>8.3699999999999997E-2</v>
      </c>
      <c r="E70" s="4">
        <f>AVERAGE(Data_filter_paper_weights[[#This Row],[Weight_1]:[Weight_3]])</f>
        <v>8.3600000000000008E-2</v>
      </c>
      <c r="F70" s="4">
        <v>0.12620000000000001</v>
      </c>
      <c r="G70" s="4">
        <v>0.1263</v>
      </c>
      <c r="H70" s="4">
        <f>AVERAGE(Data_filter_paper_weights[[#This Row],[Dry_weight_of_sediment+filter_paper_1]:[Dry_weight_of_sediment+filter_paper_2]])</f>
        <v>0.12625</v>
      </c>
      <c r="I70" s="4">
        <f>Data_filter_paper_weights[[#This Row],[Average_weight_of_sediment+filter_paper]]-Data_filter_paper_weights[[#This Row],[Average_weight]]</f>
        <v>4.2649999999999993E-2</v>
      </c>
    </row>
    <row r="71" spans="1:9" x14ac:dyDescent="0.3">
      <c r="A71" t="s">
        <v>88</v>
      </c>
      <c r="B71" s="4">
        <v>8.8599999999999998E-2</v>
      </c>
      <c r="C71" s="4">
        <v>8.8499999999999995E-2</v>
      </c>
      <c r="D71" s="4">
        <v>8.8400000000000006E-2</v>
      </c>
      <c r="E71" s="4">
        <f>AVERAGE(Data_filter_paper_weights[[#This Row],[Weight_1]:[Weight_3]])</f>
        <v>8.8499999999999981E-2</v>
      </c>
      <c r="F71" s="4">
        <v>0.15179999999999999</v>
      </c>
      <c r="G71" s="4">
        <v>0.1517</v>
      </c>
      <c r="H71" s="4">
        <f>AVERAGE(Data_filter_paper_weights[[#This Row],[Dry_weight_of_sediment+filter_paper_1]:[Dry_weight_of_sediment+filter_paper_2]])</f>
        <v>0.15175</v>
      </c>
      <c r="I71" s="4">
        <f>Data_filter_paper_weights[[#This Row],[Average_weight_of_sediment+filter_paper]]-Data_filter_paper_weights[[#This Row],[Average_weight]]</f>
        <v>6.3250000000000015E-2</v>
      </c>
    </row>
    <row r="72" spans="1:9" x14ac:dyDescent="0.3">
      <c r="A72" t="s">
        <v>89</v>
      </c>
      <c r="B72" s="4">
        <v>8.6599999999999996E-2</v>
      </c>
      <c r="C72" s="4">
        <v>8.6699999999999999E-2</v>
      </c>
      <c r="D72" s="4">
        <v>8.6800000000000002E-2</v>
      </c>
      <c r="E72" s="4">
        <f>AVERAGE(Data_filter_paper_weights[[#This Row],[Weight_1]:[Weight_3]])</f>
        <v>8.6699999999999999E-2</v>
      </c>
      <c r="F72" s="4">
        <v>0.1588</v>
      </c>
      <c r="G72" s="4">
        <v>0.15890000000000001</v>
      </c>
      <c r="H72" s="4">
        <f>AVERAGE(Data_filter_paper_weights[[#This Row],[Dry_weight_of_sediment+filter_paper_1]:[Dry_weight_of_sediment+filter_paper_2]])</f>
        <v>0.15884999999999999</v>
      </c>
      <c r="I72" s="4">
        <f>Data_filter_paper_weights[[#This Row],[Average_weight_of_sediment+filter_paper]]-Data_filter_paper_weights[[#This Row],[Average_weight]]</f>
        <v>7.2149999999999992E-2</v>
      </c>
    </row>
    <row r="73" spans="1:9" x14ac:dyDescent="0.3">
      <c r="A73" t="s">
        <v>90</v>
      </c>
      <c r="B73" s="4">
        <v>8.43E-2</v>
      </c>
      <c r="C73" s="4">
        <v>8.4199999999999997E-2</v>
      </c>
      <c r="D73" s="4">
        <v>8.4099999999999994E-2</v>
      </c>
      <c r="E73" s="4">
        <f>AVERAGE(Data_filter_paper_weights[[#This Row],[Weight_1]:[Weight_3]])</f>
        <v>8.4199999999999997E-2</v>
      </c>
      <c r="F73" s="4">
        <v>0.14449999999999999</v>
      </c>
      <c r="G73" s="4">
        <v>0.14460000000000001</v>
      </c>
      <c r="H73" s="4">
        <f>AVERAGE(Data_filter_paper_weights[[#This Row],[Dry_weight_of_sediment+filter_paper_1]:[Dry_weight_of_sediment+filter_paper_2]])</f>
        <v>0.14455000000000001</v>
      </c>
      <c r="I73" s="4">
        <f>Data_filter_paper_weights[[#This Row],[Average_weight_of_sediment+filter_paper]]-Data_filter_paper_weights[[#This Row],[Average_weight]]</f>
        <v>6.0350000000000015E-2</v>
      </c>
    </row>
    <row r="74" spans="1:9" x14ac:dyDescent="0.3">
      <c r="A74" t="s">
        <v>91</v>
      </c>
      <c r="B74" s="4">
        <v>8.4199999999999997E-2</v>
      </c>
      <c r="C74" s="4">
        <v>8.43E-2</v>
      </c>
      <c r="D74" s="4">
        <v>8.4199999999999997E-2</v>
      </c>
      <c r="E74" s="4">
        <f>AVERAGE(Data_filter_paper_weights[[#This Row],[Weight_1]:[Weight_3]])</f>
        <v>8.4233333333333327E-2</v>
      </c>
      <c r="F74" s="4">
        <v>0.14050000000000001</v>
      </c>
      <c r="G74" s="4">
        <v>0.14050000000000001</v>
      </c>
      <c r="H74" s="4">
        <f>AVERAGE(Data_filter_paper_weights[[#This Row],[Dry_weight_of_sediment+filter_paper_1]:[Dry_weight_of_sediment+filter_paper_2]])</f>
        <v>0.14050000000000001</v>
      </c>
      <c r="I74" s="4">
        <f>Data_filter_paper_weights[[#This Row],[Average_weight_of_sediment+filter_paper]]-Data_filter_paper_weights[[#This Row],[Average_weight]]</f>
        <v>5.6266666666666687E-2</v>
      </c>
    </row>
    <row r="75" spans="1:9" x14ac:dyDescent="0.3">
      <c r="A75" t="s">
        <v>92</v>
      </c>
      <c r="B75" s="4">
        <v>8.4099999999999994E-2</v>
      </c>
      <c r="C75" s="4">
        <v>8.3900000000000002E-2</v>
      </c>
      <c r="D75" s="4">
        <v>8.4000000000000005E-2</v>
      </c>
      <c r="E75" s="4">
        <f>AVERAGE(Data_filter_paper_weights[[#This Row],[Weight_1]:[Weight_3]])</f>
        <v>8.4000000000000005E-2</v>
      </c>
      <c r="F75" s="4">
        <v>0.13159999999999999</v>
      </c>
      <c r="G75" s="4">
        <v>0.13150000000000001</v>
      </c>
      <c r="H75" s="4">
        <f>AVERAGE(Data_filter_paper_weights[[#This Row],[Dry_weight_of_sediment+filter_paper_1]:[Dry_weight_of_sediment+filter_paper_2]])</f>
        <v>0.13155</v>
      </c>
      <c r="I75" s="4">
        <f>Data_filter_paper_weights[[#This Row],[Average_weight_of_sediment+filter_paper]]-Data_filter_paper_weights[[#This Row],[Average_weight]]</f>
        <v>4.7549999999999995E-2</v>
      </c>
    </row>
    <row r="76" spans="1:9" x14ac:dyDescent="0.3">
      <c r="A76" t="s">
        <v>93</v>
      </c>
      <c r="B76" s="4">
        <v>9.0800000000000006E-2</v>
      </c>
      <c r="C76" s="4">
        <v>9.0700000000000003E-2</v>
      </c>
      <c r="D76" s="4">
        <v>9.06E-2</v>
      </c>
      <c r="E76" s="4">
        <f>AVERAGE(Data_filter_paper_weights[[#This Row],[Weight_1]:[Weight_3]])</f>
        <v>9.0700000000000003E-2</v>
      </c>
      <c r="F76" s="4">
        <v>0.1011</v>
      </c>
      <c r="G76" s="4">
        <v>0.1011</v>
      </c>
      <c r="H76" s="4">
        <f>AVERAGE(Data_filter_paper_weights[[#This Row],[Dry_weight_of_sediment+filter_paper_1]:[Dry_weight_of_sediment+filter_paper_2]])</f>
        <v>0.1011</v>
      </c>
      <c r="I76" s="4">
        <f>Data_filter_paper_weights[[#This Row],[Average_weight_of_sediment+filter_paper]]-Data_filter_paper_weights[[#This Row],[Average_weight]]</f>
        <v>1.0399999999999993E-2</v>
      </c>
    </row>
    <row r="77" spans="1:9" x14ac:dyDescent="0.3">
      <c r="A77" t="s">
        <v>94</v>
      </c>
      <c r="B77" s="4">
        <v>8.4099999999999994E-2</v>
      </c>
      <c r="C77" s="4">
        <v>8.3900000000000002E-2</v>
      </c>
      <c r="D77" s="4">
        <v>8.4000000000000005E-2</v>
      </c>
      <c r="E77" s="4">
        <f>AVERAGE(Data_filter_paper_weights[[#This Row],[Weight_1]:[Weight_3]])</f>
        <v>8.4000000000000005E-2</v>
      </c>
      <c r="F77" s="4">
        <v>0.1095</v>
      </c>
      <c r="G77" s="4">
        <v>0.1096</v>
      </c>
      <c r="H77" s="4">
        <f>AVERAGE(Data_filter_paper_weights[[#This Row],[Dry_weight_of_sediment+filter_paper_1]:[Dry_weight_of_sediment+filter_paper_2]])</f>
        <v>0.10955000000000001</v>
      </c>
      <c r="I77" s="4">
        <f>Data_filter_paper_weights[[#This Row],[Average_weight_of_sediment+filter_paper]]-Data_filter_paper_weights[[#This Row],[Average_weight]]</f>
        <v>2.5550000000000003E-2</v>
      </c>
    </row>
    <row r="78" spans="1:9" x14ac:dyDescent="0.3">
      <c r="A78" t="s">
        <v>95</v>
      </c>
      <c r="B78" s="4">
        <v>8.77E-2</v>
      </c>
      <c r="C78" s="4">
        <v>8.7599999999999997E-2</v>
      </c>
      <c r="D78" s="4">
        <v>8.7400000000000005E-2</v>
      </c>
      <c r="E78" s="4">
        <f>AVERAGE(Data_filter_paper_weights[[#This Row],[Weight_1]:[Weight_3]])</f>
        <v>8.7566666666666682E-2</v>
      </c>
      <c r="F78" s="4">
        <v>0.1764</v>
      </c>
      <c r="G78" s="4">
        <v>0.17630000000000001</v>
      </c>
      <c r="H78" s="4">
        <f>AVERAGE(Data_filter_paper_weights[[#This Row],[Dry_weight_of_sediment+filter_paper_1]:[Dry_weight_of_sediment+filter_paper_2]])</f>
        <v>0.17635000000000001</v>
      </c>
      <c r="I78" s="4">
        <f>Data_filter_paper_weights[[#This Row],[Average_weight_of_sediment+filter_paper]]-Data_filter_paper_weights[[#This Row],[Average_weight]]</f>
        <v>8.8783333333333325E-2</v>
      </c>
    </row>
    <row r="79" spans="1:9" x14ac:dyDescent="0.3">
      <c r="A79" t="s">
        <v>96</v>
      </c>
      <c r="B79" s="4">
        <v>9.0899999999999995E-2</v>
      </c>
      <c r="C79" s="4">
        <v>9.0800000000000006E-2</v>
      </c>
      <c r="D79" s="4">
        <v>9.0999999999999998E-2</v>
      </c>
      <c r="E79" s="4">
        <f>AVERAGE(Data_filter_paper_weights[[#This Row],[Weight_1]:[Weight_3]])</f>
        <v>9.0899999999999995E-2</v>
      </c>
      <c r="F79" s="4">
        <v>0.14050000000000001</v>
      </c>
      <c r="G79" s="4">
        <v>0.14050000000000001</v>
      </c>
      <c r="H79" s="4">
        <f>AVERAGE(Data_filter_paper_weights[[#This Row],[Dry_weight_of_sediment+filter_paper_1]:[Dry_weight_of_sediment+filter_paper_2]])</f>
        <v>0.14050000000000001</v>
      </c>
      <c r="I79" s="4">
        <f>Data_filter_paper_weights[[#This Row],[Average_weight_of_sediment+filter_paper]]-Data_filter_paper_weights[[#This Row],[Average_weight]]</f>
        <v>4.9600000000000019E-2</v>
      </c>
    </row>
    <row r="80" spans="1:9" x14ac:dyDescent="0.3">
      <c r="A80" t="s">
        <v>97</v>
      </c>
      <c r="B80" s="4">
        <v>8.3900000000000002E-2</v>
      </c>
      <c r="C80" s="4">
        <v>8.4000000000000005E-2</v>
      </c>
      <c r="D80" s="4">
        <v>8.4000000000000005E-2</v>
      </c>
      <c r="E80" s="4">
        <f>AVERAGE(Data_filter_paper_weights[[#This Row],[Weight_1]:[Weight_3]])</f>
        <v>8.3966666666666676E-2</v>
      </c>
      <c r="F80" s="4">
        <v>0.46179999999999999</v>
      </c>
      <c r="G80" s="4">
        <v>0.4617</v>
      </c>
      <c r="H80" s="4">
        <f>AVERAGE(Data_filter_paper_weights[[#This Row],[Dry_weight_of_sediment+filter_paper_1]:[Dry_weight_of_sediment+filter_paper_2]])</f>
        <v>0.46174999999999999</v>
      </c>
      <c r="I80" s="4">
        <f>Data_filter_paper_weights[[#This Row],[Average_weight_of_sediment+filter_paper]]-Data_filter_paper_weights[[#This Row],[Average_weight]]</f>
        <v>0.3777833333333333</v>
      </c>
    </row>
    <row r="81" spans="1:9" x14ac:dyDescent="0.3">
      <c r="A81" t="s">
        <v>98</v>
      </c>
      <c r="B81" s="4">
        <v>8.3500000000000005E-2</v>
      </c>
      <c r="C81" s="4">
        <v>8.3599999999999994E-2</v>
      </c>
      <c r="D81" s="4">
        <v>8.3699999999999997E-2</v>
      </c>
      <c r="E81" s="4">
        <f>AVERAGE(Data_filter_paper_weights[[#This Row],[Weight_1]:[Weight_3]])</f>
        <v>8.3600000000000008E-2</v>
      </c>
      <c r="F81" s="4">
        <v>0.17499999999999999</v>
      </c>
      <c r="G81" s="4">
        <v>0.17499999999999999</v>
      </c>
      <c r="H81" s="4">
        <f>AVERAGE(Data_filter_paper_weights[[#This Row],[Dry_weight_of_sediment+filter_paper_1]:[Dry_weight_of_sediment+filter_paper_2]])</f>
        <v>0.17499999999999999</v>
      </c>
      <c r="I81" s="4">
        <f>Data_filter_paper_weights[[#This Row],[Average_weight_of_sediment+filter_paper]]-Data_filter_paper_weights[[#This Row],[Average_weight]]</f>
        <v>9.1399999999999981E-2</v>
      </c>
    </row>
    <row r="82" spans="1:9" x14ac:dyDescent="0.3">
      <c r="A82" t="s">
        <v>99</v>
      </c>
      <c r="B82" s="4">
        <v>8.8599999999999998E-2</v>
      </c>
      <c r="C82" s="4">
        <v>8.8499999999999995E-2</v>
      </c>
      <c r="D82" s="4">
        <v>8.8400000000000006E-2</v>
      </c>
      <c r="E82" s="4">
        <f>AVERAGE(Data_filter_paper_weights[[#This Row],[Weight_1]:[Weight_3]])</f>
        <v>8.8499999999999981E-2</v>
      </c>
      <c r="F82" s="4">
        <v>0.18010000000000001</v>
      </c>
      <c r="G82" s="4">
        <v>0.1799</v>
      </c>
      <c r="H82" s="4">
        <f>AVERAGE(Data_filter_paper_weights[[#This Row],[Dry_weight_of_sediment+filter_paper_1]:[Dry_weight_of_sediment+filter_paper_2]])</f>
        <v>0.18</v>
      </c>
      <c r="I82" s="4">
        <f>Data_filter_paper_weights[[#This Row],[Average_weight_of_sediment+filter_paper]]-Data_filter_paper_weights[[#This Row],[Average_weight]]</f>
        <v>9.1500000000000012E-2</v>
      </c>
    </row>
    <row r="83" spans="1:9" x14ac:dyDescent="0.3">
      <c r="A83" t="s">
        <v>100</v>
      </c>
      <c r="B83" s="4">
        <v>8.6599999999999996E-2</v>
      </c>
      <c r="C83" s="4">
        <v>8.6699999999999999E-2</v>
      </c>
      <c r="D83" s="4">
        <v>8.6800000000000002E-2</v>
      </c>
      <c r="E83" s="4">
        <f>AVERAGE(Data_filter_paper_weights[[#This Row],[Weight_1]:[Weight_3]])</f>
        <v>8.6699999999999999E-2</v>
      </c>
      <c r="F83" s="4">
        <v>9.7100000000000006E-2</v>
      </c>
      <c r="G83" s="4">
        <v>9.7199999999999995E-2</v>
      </c>
      <c r="H83" s="4">
        <f>AVERAGE(Data_filter_paper_weights[[#This Row],[Dry_weight_of_sediment+filter_paper_1]:[Dry_weight_of_sediment+filter_paper_2]])</f>
        <v>9.715E-2</v>
      </c>
      <c r="I83" s="4">
        <f>Data_filter_paper_weights[[#This Row],[Average_weight_of_sediment+filter_paper]]-Data_filter_paper_weights[[#This Row],[Average_weight]]</f>
        <v>1.0450000000000001E-2</v>
      </c>
    </row>
    <row r="84" spans="1:9" x14ac:dyDescent="0.3">
      <c r="A84" t="s">
        <v>101</v>
      </c>
      <c r="B84" s="4">
        <v>8.8800000000000004E-2</v>
      </c>
      <c r="C84" s="4">
        <v>8.8700000000000001E-2</v>
      </c>
      <c r="D84" s="4">
        <v>8.8499999999999995E-2</v>
      </c>
      <c r="E84" s="4">
        <f>AVERAGE(Data_filter_paper_weights[[#This Row],[Weight_1]:[Weight_3]])</f>
        <v>8.8666666666666671E-2</v>
      </c>
      <c r="F84" s="4">
        <v>0.1764</v>
      </c>
      <c r="G84" s="4">
        <v>0.1762</v>
      </c>
      <c r="H84" s="4">
        <f>AVERAGE(Data_filter_paper_weights[[#This Row],[Dry_weight_of_sediment+filter_paper_1]:[Dry_weight_of_sediment+filter_paper_2]])</f>
        <v>0.17630000000000001</v>
      </c>
      <c r="I84" s="4">
        <f>Data_filter_paper_weights[[#This Row],[Average_weight_of_sediment+filter_paper]]-Data_filter_paper_weights[[#This Row],[Average_weight]]</f>
        <v>8.7633333333333341E-2</v>
      </c>
    </row>
    <row r="85" spans="1:9" x14ac:dyDescent="0.3">
      <c r="A85" t="s">
        <v>102</v>
      </c>
      <c r="B85" s="4">
        <v>8.7499999999999994E-2</v>
      </c>
      <c r="C85" s="4">
        <v>8.7400000000000005E-2</v>
      </c>
      <c r="D85" s="4">
        <v>8.7300000000000003E-2</v>
      </c>
      <c r="E85" s="4">
        <f>AVERAGE(Data_filter_paper_weights[[#This Row],[Weight_1]:[Weight_3]])</f>
        <v>8.7399999999999992E-2</v>
      </c>
      <c r="F85" s="4">
        <v>0.14530000000000001</v>
      </c>
      <c r="G85" s="4">
        <v>0.1452</v>
      </c>
      <c r="H85" s="4">
        <f>AVERAGE(Data_filter_paper_weights[[#This Row],[Dry_weight_of_sediment+filter_paper_1]:[Dry_weight_of_sediment+filter_paper_2]])</f>
        <v>0.14524999999999999</v>
      </c>
      <c r="I85" s="4">
        <f>Data_filter_paper_weights[[#This Row],[Average_weight_of_sediment+filter_paper]]-Data_filter_paper_weights[[#This Row],[Average_weight]]</f>
        <v>5.7849999999999999E-2</v>
      </c>
    </row>
    <row r="86" spans="1:9" x14ac:dyDescent="0.3">
      <c r="A86" t="s">
        <v>103</v>
      </c>
      <c r="B86" s="4">
        <v>9.0800000000000006E-2</v>
      </c>
      <c r="C86" s="4">
        <v>9.0700000000000003E-2</v>
      </c>
      <c r="D86" s="4">
        <v>9.06E-2</v>
      </c>
      <c r="E86" s="4">
        <f>AVERAGE(Data_filter_paper_weights[[#This Row],[Weight_1]:[Weight_3]])</f>
        <v>9.0700000000000003E-2</v>
      </c>
      <c r="F86" s="4">
        <v>9.8000000000000004E-2</v>
      </c>
      <c r="G86" s="4">
        <v>9.7799999999999998E-2</v>
      </c>
      <c r="H86" s="4">
        <f>AVERAGE(Data_filter_paper_weights[[#This Row],[Dry_weight_of_sediment+filter_paper_1]:[Dry_weight_of_sediment+filter_paper_2]])</f>
        <v>9.7900000000000001E-2</v>
      </c>
      <c r="I86" s="4">
        <f>Data_filter_paper_weights[[#This Row],[Average_weight_of_sediment+filter_paper]]-Data_filter_paper_weights[[#This Row],[Average_weight]]</f>
        <v>7.1999999999999981E-3</v>
      </c>
    </row>
    <row r="87" spans="1:9" x14ac:dyDescent="0.3">
      <c r="A87" t="s">
        <v>104</v>
      </c>
      <c r="B87" s="4">
        <v>9.0899999999999995E-2</v>
      </c>
      <c r="C87" s="4">
        <v>9.0800000000000006E-2</v>
      </c>
      <c r="D87" s="4">
        <v>9.0999999999999998E-2</v>
      </c>
      <c r="E87" s="4">
        <f>AVERAGE(Data_filter_paper_weights[[#This Row],[Weight_1]:[Weight_3]])</f>
        <v>9.0899999999999995E-2</v>
      </c>
      <c r="F87" s="4">
        <v>9.7100000000000006E-2</v>
      </c>
      <c r="G87" s="4">
        <v>9.7100000000000006E-2</v>
      </c>
      <c r="H87" s="4">
        <f>AVERAGE(Data_filter_paper_weights[[#This Row],[Dry_weight_of_sediment+filter_paper_1]:[Dry_weight_of_sediment+filter_paper_2]])</f>
        <v>9.7100000000000006E-2</v>
      </c>
      <c r="I87" s="4">
        <f>Data_filter_paper_weights[[#This Row],[Average_weight_of_sediment+filter_paper]]-Data_filter_paper_weights[[#This Row],[Average_weight]]</f>
        <v>6.2000000000000111E-3</v>
      </c>
    </row>
    <row r="88" spans="1:9" x14ac:dyDescent="0.3">
      <c r="A88" t="s">
        <v>105</v>
      </c>
      <c r="B88" s="4">
        <v>8.4000000000000005E-2</v>
      </c>
      <c r="C88" s="4">
        <v>8.3900000000000002E-2</v>
      </c>
      <c r="D88" s="4">
        <v>8.4000000000000005E-2</v>
      </c>
      <c r="E88" s="4">
        <f>AVERAGE(Data_filter_paper_weights[[#This Row],[Weight_1]:[Weight_3]])</f>
        <v>8.3966666666666676E-2</v>
      </c>
      <c r="F88" s="4">
        <v>0.1198</v>
      </c>
      <c r="G88" s="4">
        <v>0.11990000000000001</v>
      </c>
      <c r="H88" s="4">
        <f>AVERAGE(Data_filter_paper_weights[[#This Row],[Dry_weight_of_sediment+filter_paper_1]:[Dry_weight_of_sediment+filter_paper_2]])</f>
        <v>0.11985000000000001</v>
      </c>
      <c r="I88" s="4">
        <f>Data_filter_paper_weights[[#This Row],[Average_weight_of_sediment+filter_paper]]-Data_filter_paper_weights[[#This Row],[Average_weight]]</f>
        <v>3.5883333333333337E-2</v>
      </c>
    </row>
    <row r="89" spans="1:9" x14ac:dyDescent="0.3">
      <c r="A89" t="s">
        <v>106</v>
      </c>
      <c r="B89" s="4">
        <v>8.3699999999999997E-2</v>
      </c>
      <c r="C89" s="4">
        <v>8.3500000000000005E-2</v>
      </c>
      <c r="D89" s="4">
        <v>8.3599999999999994E-2</v>
      </c>
      <c r="E89" s="4">
        <f>AVERAGE(Data_filter_paper_weights[[#This Row],[Weight_1]:[Weight_3]])</f>
        <v>8.3600000000000008E-2</v>
      </c>
      <c r="F89" s="4">
        <v>0.1351</v>
      </c>
      <c r="G89" s="4">
        <v>0.13519999999999999</v>
      </c>
      <c r="H89" s="4">
        <f>AVERAGE(Data_filter_paper_weights[[#This Row],[Dry_weight_of_sediment+filter_paper_1]:[Dry_weight_of_sediment+filter_paper_2]])</f>
        <v>0.13514999999999999</v>
      </c>
      <c r="I89" s="4">
        <f>Data_filter_paper_weights[[#This Row],[Average_weight_of_sediment+filter_paper]]-Data_filter_paper_weights[[#This Row],[Average_weight]]</f>
        <v>5.1549999999999985E-2</v>
      </c>
    </row>
    <row r="90" spans="1:9" x14ac:dyDescent="0.3">
      <c r="A90" t="s">
        <v>107</v>
      </c>
      <c r="B90" s="4">
        <v>8.8400000000000006E-2</v>
      </c>
      <c r="C90" s="4">
        <v>8.8599999999999998E-2</v>
      </c>
      <c r="D90" s="4">
        <v>8.8499999999999995E-2</v>
      </c>
      <c r="E90" s="4">
        <f>AVERAGE(Data_filter_paper_weights[[#This Row],[Weight_1]:[Weight_3]])</f>
        <v>8.8499999999999981E-2</v>
      </c>
      <c r="F90" s="4">
        <v>0.10009999999999999</v>
      </c>
      <c r="G90" s="4">
        <v>0.1002</v>
      </c>
      <c r="H90" s="4">
        <f>AVERAGE(Data_filter_paper_weights[[#This Row],[Dry_weight_of_sediment+filter_paper_1]:[Dry_weight_of_sediment+filter_paper_2]])</f>
        <v>0.10014999999999999</v>
      </c>
      <c r="I90" s="4">
        <f>Data_filter_paper_weights[[#This Row],[Average_weight_of_sediment+filter_paper]]-Data_filter_paper_weights[[#This Row],[Average_weight]]</f>
        <v>1.1650000000000008E-2</v>
      </c>
    </row>
    <row r="91" spans="1:9" x14ac:dyDescent="0.3">
      <c r="A91" t="s">
        <v>108</v>
      </c>
      <c r="B91" s="4">
        <v>8.6800000000000002E-2</v>
      </c>
      <c r="C91" s="4">
        <v>8.6599999999999996E-2</v>
      </c>
      <c r="D91" s="4">
        <v>8.6699999999999999E-2</v>
      </c>
      <c r="E91" s="4">
        <f>AVERAGE(Data_filter_paper_weights[[#This Row],[Weight_1]:[Weight_3]])</f>
        <v>8.6699999999999999E-2</v>
      </c>
      <c r="F91" s="4">
        <v>0.18140000000000001</v>
      </c>
      <c r="G91" s="4">
        <v>0.18129999999999999</v>
      </c>
      <c r="H91" s="4">
        <f>AVERAGE(Data_filter_paper_weights[[#This Row],[Dry_weight_of_sediment+filter_paper_1]:[Dry_weight_of_sediment+filter_paper_2]])</f>
        <v>0.18135000000000001</v>
      </c>
      <c r="I91" s="4">
        <f>Data_filter_paper_weights[[#This Row],[Average_weight_of_sediment+filter_paper]]-Data_filter_paper_weights[[#This Row],[Average_weight]]</f>
        <v>9.4650000000000012E-2</v>
      </c>
    </row>
    <row r="92" spans="1:9" x14ac:dyDescent="0.3">
      <c r="A92" t="s">
        <v>109</v>
      </c>
      <c r="B92" s="4">
        <v>8.4099999999999994E-2</v>
      </c>
      <c r="C92" s="4">
        <v>8.43E-2</v>
      </c>
      <c r="D92" s="4">
        <v>8.4199999999999997E-2</v>
      </c>
      <c r="E92" s="4">
        <f>AVERAGE(Data_filter_paper_weights[[#This Row],[Weight_1]:[Weight_3]])</f>
        <v>8.4199999999999997E-2</v>
      </c>
      <c r="F92" s="4">
        <v>0.12239999999999999</v>
      </c>
      <c r="G92" s="4">
        <v>0.1225</v>
      </c>
      <c r="H92" s="4">
        <f>AVERAGE(Data_filter_paper_weights[[#This Row],[Dry_weight_of_sediment+filter_paper_1]:[Dry_weight_of_sediment+filter_paper_2]])</f>
        <v>0.12245</v>
      </c>
      <c r="I92" s="4">
        <f>Data_filter_paper_weights[[#This Row],[Average_weight_of_sediment+filter_paper]]-Data_filter_paper_weights[[#This Row],[Average_weight]]</f>
        <v>3.8250000000000006E-2</v>
      </c>
    </row>
    <row r="93" spans="1:9" x14ac:dyDescent="0.3">
      <c r="A93" t="s">
        <v>110</v>
      </c>
      <c r="B93" s="4">
        <v>8.4199999999999997E-2</v>
      </c>
      <c r="C93" s="4">
        <v>8.4199999999999997E-2</v>
      </c>
      <c r="D93" s="4">
        <v>8.43E-2</v>
      </c>
      <c r="E93" s="4">
        <f>AVERAGE(Data_filter_paper_weights[[#This Row],[Weight_1]:[Weight_3]])</f>
        <v>8.4233333333333327E-2</v>
      </c>
      <c r="F93" s="4">
        <v>9.7100000000000006E-2</v>
      </c>
      <c r="G93" s="4">
        <v>9.7199999999999995E-2</v>
      </c>
      <c r="H93" s="4">
        <f>AVERAGE(Data_filter_paper_weights[[#This Row],[Dry_weight_of_sediment+filter_paper_1]:[Dry_weight_of_sediment+filter_paper_2]])</f>
        <v>9.715E-2</v>
      </c>
      <c r="I93" s="4">
        <f>Data_filter_paper_weights[[#This Row],[Average_weight_of_sediment+filter_paper]]-Data_filter_paper_weights[[#This Row],[Average_weight]]</f>
        <v>1.2916666666666674E-2</v>
      </c>
    </row>
    <row r="94" spans="1:9" x14ac:dyDescent="0.3">
      <c r="A94" t="s">
        <v>111</v>
      </c>
      <c r="B94" s="4">
        <v>8.4000000000000005E-2</v>
      </c>
      <c r="C94" s="4">
        <v>8.4099999999999994E-2</v>
      </c>
      <c r="D94" s="4">
        <v>8.3900000000000002E-2</v>
      </c>
      <c r="E94" s="4">
        <f>AVERAGE(Data_filter_paper_weights[[#This Row],[Weight_1]:[Weight_3]])</f>
        <v>8.4000000000000005E-2</v>
      </c>
      <c r="F94" s="4">
        <v>0.18</v>
      </c>
      <c r="G94" s="4">
        <v>0.1799</v>
      </c>
      <c r="H94" s="4">
        <f>AVERAGE(Data_filter_paper_weights[[#This Row],[Dry_weight_of_sediment+filter_paper_1]:[Dry_weight_of_sediment+filter_paper_2]])</f>
        <v>0.17995</v>
      </c>
      <c r="I94" s="4">
        <f>Data_filter_paper_weights[[#This Row],[Average_weight_of_sediment+filter_paper]]-Data_filter_paper_weights[[#This Row],[Average_weight]]</f>
        <v>9.5949999999999994E-2</v>
      </c>
    </row>
    <row r="95" spans="1:9" x14ac:dyDescent="0.3">
      <c r="A95" t="s">
        <v>112</v>
      </c>
      <c r="B95" s="4">
        <v>9.06E-2</v>
      </c>
      <c r="C95" s="4">
        <v>9.0800000000000006E-2</v>
      </c>
      <c r="D95" s="4">
        <v>9.0700000000000003E-2</v>
      </c>
      <c r="E95" s="4">
        <f>AVERAGE(Data_filter_paper_weights[[#This Row],[Weight_1]:[Weight_3]])</f>
        <v>9.0700000000000003E-2</v>
      </c>
      <c r="F95" s="4">
        <v>0.11940000000000001</v>
      </c>
      <c r="G95" s="4">
        <v>0.1193</v>
      </c>
      <c r="H95" s="4">
        <f>AVERAGE(Data_filter_paper_weights[[#This Row],[Dry_weight_of_sediment+filter_paper_1]:[Dry_weight_of_sediment+filter_paper_2]])</f>
        <v>0.11935000000000001</v>
      </c>
      <c r="I95" s="4">
        <f>Data_filter_paper_weights[[#This Row],[Average_weight_of_sediment+filter_paper]]-Data_filter_paper_weights[[#This Row],[Average_weight]]</f>
        <v>2.8650000000000009E-2</v>
      </c>
    </row>
    <row r="96" spans="1:9" x14ac:dyDescent="0.3">
      <c r="A96" t="s">
        <v>113</v>
      </c>
      <c r="B96" s="4">
        <v>9.0999999999999998E-2</v>
      </c>
      <c r="C96" s="4">
        <v>9.0899999999999995E-2</v>
      </c>
      <c r="D96" s="4">
        <v>9.0800000000000006E-2</v>
      </c>
      <c r="E96" s="4">
        <f>AVERAGE(Data_filter_paper_weights[[#This Row],[Weight_1]:[Weight_3]])</f>
        <v>9.0899999999999995E-2</v>
      </c>
      <c r="F96" s="4">
        <v>0.64700000000000002</v>
      </c>
      <c r="G96" s="4">
        <v>6.4799999999999996E-2</v>
      </c>
      <c r="H96" s="4">
        <f>AVERAGE(Data_filter_paper_weights[[#This Row],[Dry_weight_of_sediment+filter_paper_1]:[Dry_weight_of_sediment+filter_paper_2]])</f>
        <v>0.35589999999999999</v>
      </c>
      <c r="I96" s="4">
        <f>Data_filter_paper_weights[[#This Row],[Average_weight_of_sediment+filter_paper]]-Data_filter_paper_weights[[#This Row],[Average_weight]]</f>
        <v>0.26500000000000001</v>
      </c>
    </row>
    <row r="97" spans="1:9" x14ac:dyDescent="0.3">
      <c r="A97" t="s">
        <v>114</v>
      </c>
      <c r="B97" s="4">
        <v>8.4000000000000005E-2</v>
      </c>
      <c r="C97" s="4">
        <v>8.4000000000000005E-2</v>
      </c>
      <c r="D97" s="4">
        <v>8.3900000000000002E-2</v>
      </c>
      <c r="E97" s="4">
        <f>AVERAGE(Data_filter_paper_weights[[#This Row],[Weight_1]:[Weight_3]])</f>
        <v>8.3966666666666676E-2</v>
      </c>
      <c r="F97" s="4">
        <v>5.0099999999999999E-2</v>
      </c>
      <c r="G97" s="4">
        <v>0.502</v>
      </c>
      <c r="H97" s="4">
        <f>AVERAGE(Data_filter_paper_weights[[#This Row],[Dry_weight_of_sediment+filter_paper_1]:[Dry_weight_of_sediment+filter_paper_2]])</f>
        <v>0.27605000000000002</v>
      </c>
      <c r="I97" s="4">
        <f>Data_filter_paper_weights[[#This Row],[Average_weight_of_sediment+filter_paper]]-Data_filter_paper_weights[[#This Row],[Average_weight]]</f>
        <v>0.19208333333333333</v>
      </c>
    </row>
    <row r="98" spans="1:9" x14ac:dyDescent="0.3">
      <c r="A98" t="s">
        <v>115</v>
      </c>
      <c r="B98" s="4">
        <v>8.3599999999999994E-2</v>
      </c>
      <c r="C98" s="4">
        <v>8.3699999999999997E-2</v>
      </c>
      <c r="D98" s="4">
        <v>8.3500000000000005E-2</v>
      </c>
      <c r="E98" s="4">
        <f>AVERAGE(Data_filter_paper_weights[[#This Row],[Weight_1]:[Weight_3]])</f>
        <v>8.3600000000000008E-2</v>
      </c>
      <c r="F98" s="4">
        <v>0.08</v>
      </c>
      <c r="G98" s="4">
        <v>0.79900000000000004</v>
      </c>
      <c r="H98" s="4">
        <f>AVERAGE(Data_filter_paper_weights[[#This Row],[Dry_weight_of_sediment+filter_paper_1]:[Dry_weight_of_sediment+filter_paper_2]])</f>
        <v>0.4395</v>
      </c>
      <c r="I98" s="4">
        <f>Data_filter_paper_weights[[#This Row],[Average_weight_of_sediment+filter_paper]]-Data_filter_paper_weights[[#This Row],[Average_weight]]</f>
        <v>0.35589999999999999</v>
      </c>
    </row>
    <row r="99" spans="1:9" x14ac:dyDescent="0.3">
      <c r="A99" t="s">
        <v>116</v>
      </c>
      <c r="B99" s="4">
        <v>8.3500000000000005E-2</v>
      </c>
      <c r="C99" s="4">
        <v>8.3599999999999994E-2</v>
      </c>
      <c r="D99" s="4">
        <v>8.3699999999999997E-2</v>
      </c>
      <c r="E99" s="4">
        <f>AVERAGE(Data_filter_paper_weights[[#This Row],[Weight_1]:[Weight_3]])</f>
        <v>8.3600000000000008E-2</v>
      </c>
      <c r="F99" s="4">
        <v>8.6199999999999999E-2</v>
      </c>
      <c r="G99" s="4">
        <v>8.5900000000000004E-2</v>
      </c>
      <c r="H99" s="4">
        <f>AVERAGE(Data_filter_paper_weights[[#This Row],[Dry_weight_of_sediment+filter_paper_1]:[Dry_weight_of_sediment+filter_paper_2]])</f>
        <v>8.6050000000000001E-2</v>
      </c>
      <c r="I99" s="4">
        <f>Data_filter_paper_weights[[#This Row],[Average_weight_of_sediment+filter_paper]]-Data_filter_paper_weights[[#This Row],[Average_weight]]</f>
        <v>2.4499999999999938E-3</v>
      </c>
    </row>
    <row r="100" spans="1:9" x14ac:dyDescent="0.3">
      <c r="A100" t="s">
        <v>117</v>
      </c>
      <c r="B100" s="4">
        <v>8.8599999999999998E-2</v>
      </c>
      <c r="C100" s="4">
        <v>8.8499999999999995E-2</v>
      </c>
      <c r="D100" s="4">
        <v>8.8400000000000006E-2</v>
      </c>
      <c r="E100" s="4">
        <f>AVERAGE(Data_filter_paper_weights[[#This Row],[Weight_1]:[Weight_3]])</f>
        <v>8.8499999999999981E-2</v>
      </c>
      <c r="F100" s="4">
        <v>0.1661</v>
      </c>
      <c r="G100" s="4">
        <v>0.1658</v>
      </c>
      <c r="H100" s="4">
        <f>AVERAGE(Data_filter_paper_weights[[#This Row],[Dry_weight_of_sediment+filter_paper_1]:[Dry_weight_of_sediment+filter_paper_2]])</f>
        <v>0.16594999999999999</v>
      </c>
      <c r="I100" s="4">
        <f>Data_filter_paper_weights[[#This Row],[Average_weight_of_sediment+filter_paper]]-Data_filter_paper_weights[[#This Row],[Average_weight]]</f>
        <v>7.7450000000000005E-2</v>
      </c>
    </row>
    <row r="101" spans="1:9" x14ac:dyDescent="0.3">
      <c r="A101" t="s">
        <v>118</v>
      </c>
      <c r="B101" s="4">
        <v>8.6599999999999996E-2</v>
      </c>
      <c r="C101" s="4">
        <v>8.6699999999999999E-2</v>
      </c>
      <c r="D101" s="4">
        <v>8.6800000000000002E-2</v>
      </c>
      <c r="E101" s="4">
        <f>AVERAGE(Data_filter_paper_weights[[#This Row],[Weight_1]:[Weight_3]])</f>
        <v>8.6699999999999999E-2</v>
      </c>
      <c r="F101" s="4">
        <v>0.1454</v>
      </c>
      <c r="G101" s="4">
        <v>0.14530000000000001</v>
      </c>
      <c r="H101" s="4">
        <f>AVERAGE(Data_filter_paper_weights[[#This Row],[Dry_weight_of_sediment+filter_paper_1]:[Dry_weight_of_sediment+filter_paper_2]])</f>
        <v>0.14535000000000001</v>
      </c>
      <c r="I101" s="4">
        <f>Data_filter_paper_weights[[#This Row],[Average_weight_of_sediment+filter_paper]]-Data_filter_paper_weights[[#This Row],[Average_weight]]</f>
        <v>5.8650000000000008E-2</v>
      </c>
    </row>
    <row r="102" spans="1:9" x14ac:dyDescent="0.3">
      <c r="A102" t="s">
        <v>119</v>
      </c>
      <c r="B102" s="4">
        <v>8.8800000000000004E-2</v>
      </c>
      <c r="C102" s="4">
        <v>8.8700000000000001E-2</v>
      </c>
      <c r="D102" s="4">
        <v>8.8499999999999995E-2</v>
      </c>
      <c r="E102" s="4">
        <f>AVERAGE(Data_filter_paper_weights[[#This Row],[Weight_1]:[Weight_3]])</f>
        <v>8.8666666666666671E-2</v>
      </c>
      <c r="F102" s="4">
        <v>0.14219999999999999</v>
      </c>
      <c r="G102" s="4">
        <v>0.1421</v>
      </c>
      <c r="H102" s="4">
        <f>AVERAGE(Data_filter_paper_weights[[#This Row],[Dry_weight_of_sediment+filter_paper_1]:[Dry_weight_of_sediment+filter_paper_2]])</f>
        <v>0.14215</v>
      </c>
      <c r="I102" s="4">
        <f>Data_filter_paper_weights[[#This Row],[Average_weight_of_sediment+filter_paper]]-Data_filter_paper_weights[[#This Row],[Average_weight]]</f>
        <v>5.3483333333333327E-2</v>
      </c>
    </row>
    <row r="103" spans="1:9" x14ac:dyDescent="0.3">
      <c r="A103" t="s">
        <v>120</v>
      </c>
      <c r="B103" s="4">
        <v>8.7499999999999994E-2</v>
      </c>
      <c r="C103" s="4">
        <v>8.7400000000000005E-2</v>
      </c>
      <c r="D103" s="4">
        <v>8.7300000000000003E-2</v>
      </c>
      <c r="E103" s="4">
        <f>AVERAGE(Data_filter_paper_weights[[#This Row],[Weight_1]:[Weight_3]])</f>
        <v>8.7399999999999992E-2</v>
      </c>
      <c r="F103" s="4">
        <v>0.1628</v>
      </c>
      <c r="G103" s="4">
        <v>0.1613</v>
      </c>
      <c r="H103" s="4">
        <f>AVERAGE(Data_filter_paper_weights[[#This Row],[Dry_weight_of_sediment+filter_paper_1]:[Dry_weight_of_sediment+filter_paper_2]])</f>
        <v>0.16205</v>
      </c>
      <c r="I103" s="4">
        <f>Data_filter_paper_weights[[#This Row],[Average_weight_of_sediment+filter_paper]]-Data_filter_paper_weights[[#This Row],[Average_weight]]</f>
        <v>7.4650000000000008E-2</v>
      </c>
    </row>
    <row r="104" spans="1:9" x14ac:dyDescent="0.3">
      <c r="A104" t="s">
        <v>121</v>
      </c>
      <c r="B104" s="4">
        <v>9.0800000000000006E-2</v>
      </c>
      <c r="C104" s="4">
        <v>9.0700000000000003E-2</v>
      </c>
      <c r="D104" s="4">
        <v>9.06E-2</v>
      </c>
      <c r="E104" s="4">
        <f>AVERAGE(Data_filter_paper_weights[[#This Row],[Weight_1]:[Weight_3]])</f>
        <v>9.0700000000000003E-2</v>
      </c>
      <c r="F104" s="4">
        <v>0.17699999999999999</v>
      </c>
      <c r="G104" s="4">
        <v>0.17710000000000001</v>
      </c>
      <c r="H104" s="4">
        <f>AVERAGE(Data_filter_paper_weights[[#This Row],[Dry_weight_of_sediment+filter_paper_1]:[Dry_weight_of_sediment+filter_paper_2]])</f>
        <v>0.17704999999999999</v>
      </c>
      <c r="I104" s="4">
        <f>Data_filter_paper_weights[[#This Row],[Average_weight_of_sediment+filter_paper]]-Data_filter_paper_weights[[#This Row],[Average_weight]]</f>
        <v>8.6349999999999982E-2</v>
      </c>
    </row>
    <row r="105" spans="1:9" x14ac:dyDescent="0.3">
      <c r="A105" t="s">
        <v>122</v>
      </c>
      <c r="B105" s="4">
        <v>8.7499999999999994E-2</v>
      </c>
      <c r="C105" s="4">
        <v>8.7400000000000005E-2</v>
      </c>
      <c r="D105" s="4">
        <v>8.7300000000000003E-2</v>
      </c>
      <c r="E105" s="4">
        <f>AVERAGE(Data_filter_paper_weights[[#This Row],[Weight_1]:[Weight_3]])</f>
        <v>8.7399999999999992E-2</v>
      </c>
      <c r="F105" s="4">
        <v>0.14580000000000001</v>
      </c>
      <c r="G105" s="4">
        <v>0.1459</v>
      </c>
      <c r="H105" s="4">
        <f>AVERAGE(Data_filter_paper_weights[[#This Row],[Dry_weight_of_sediment+filter_paper_1]:[Dry_weight_of_sediment+filter_paper_2]])</f>
        <v>0.14585000000000001</v>
      </c>
      <c r="I105" s="4">
        <f>Data_filter_paper_weights[[#This Row],[Average_weight_of_sediment+filter_paper]]-Data_filter_paper_weights[[#This Row],[Average_weight]]</f>
        <v>5.8450000000000016E-2</v>
      </c>
    </row>
    <row r="106" spans="1:9" x14ac:dyDescent="0.3">
      <c r="A106" t="s">
        <v>123</v>
      </c>
      <c r="B106" s="4">
        <v>9.0800000000000006E-2</v>
      </c>
      <c r="C106" s="4">
        <v>9.0700000000000003E-2</v>
      </c>
      <c r="D106" s="4">
        <v>9.06E-2</v>
      </c>
      <c r="E106" s="4">
        <f>AVERAGE(Data_filter_paper_weights[[#This Row],[Weight_1]:[Weight_3]])</f>
        <v>9.0700000000000003E-2</v>
      </c>
      <c r="F106" s="4">
        <v>0.1593</v>
      </c>
      <c r="G106" s="4">
        <v>0.15920000000000001</v>
      </c>
      <c r="H106" s="4">
        <f>AVERAGE(Data_filter_paper_weights[[#This Row],[Dry_weight_of_sediment+filter_paper_1]:[Dry_weight_of_sediment+filter_paper_2]])</f>
        <v>0.15925</v>
      </c>
      <c r="I106" s="4">
        <f>Data_filter_paper_weights[[#This Row],[Average_weight_of_sediment+filter_paper]]-Data_filter_paper_weights[[#This Row],[Average_weight]]</f>
        <v>6.855E-2</v>
      </c>
    </row>
    <row r="107" spans="1:9" x14ac:dyDescent="0.3">
      <c r="A107" t="s">
        <v>124</v>
      </c>
      <c r="B107" s="4">
        <v>9.0899999999999995E-2</v>
      </c>
      <c r="C107" s="4">
        <v>9.0800000000000006E-2</v>
      </c>
      <c r="D107" s="4">
        <v>9.0999999999999998E-2</v>
      </c>
      <c r="E107" s="4">
        <f>AVERAGE(Data_filter_paper_weights[[#This Row],[Weight_1]:[Weight_3]])</f>
        <v>9.0899999999999995E-2</v>
      </c>
      <c r="F107" s="4">
        <v>0.70099999999999996</v>
      </c>
      <c r="G107" s="4">
        <v>0.70199999999999996</v>
      </c>
      <c r="H107" s="4">
        <f>AVERAGE(Data_filter_paper_weights[[#This Row],[Dry_weight_of_sediment+filter_paper_1]:[Dry_weight_of_sediment+filter_paper_2]])</f>
        <v>0.70150000000000001</v>
      </c>
      <c r="I107" s="4">
        <f>Data_filter_paper_weights[[#This Row],[Average_weight_of_sediment+filter_paper]]-Data_filter_paper_weights[[#This Row],[Average_weight]]</f>
        <v>0.61060000000000003</v>
      </c>
    </row>
    <row r="108" spans="1:9" x14ac:dyDescent="0.3">
      <c r="A108" t="s">
        <v>125</v>
      </c>
      <c r="B108" s="4">
        <v>8.3900000000000002E-2</v>
      </c>
      <c r="C108" s="4">
        <v>8.4000000000000005E-2</v>
      </c>
      <c r="D108" s="4">
        <v>8.4000000000000005E-2</v>
      </c>
      <c r="E108" s="4">
        <f>AVERAGE(Data_filter_paper_weights[[#This Row],[Weight_1]:[Weight_3]])</f>
        <v>8.3966666666666676E-2</v>
      </c>
      <c r="F108" s="4">
        <v>0.13880000000000001</v>
      </c>
      <c r="G108" s="4">
        <v>0.13869999999999999</v>
      </c>
      <c r="H108" s="4">
        <f>AVERAGE(Data_filter_paper_weights[[#This Row],[Dry_weight_of_sediment+filter_paper_1]:[Dry_weight_of_sediment+filter_paper_2]])</f>
        <v>0.13874999999999998</v>
      </c>
      <c r="I108" s="4">
        <f>Data_filter_paper_weights[[#This Row],[Average_weight_of_sediment+filter_paper]]-Data_filter_paper_weights[[#This Row],[Average_weight]]</f>
        <v>5.4783333333333309E-2</v>
      </c>
    </row>
    <row r="109" spans="1:9" x14ac:dyDescent="0.3">
      <c r="A109" t="s">
        <v>126</v>
      </c>
      <c r="B109" s="4">
        <v>8.3500000000000005E-2</v>
      </c>
      <c r="C109" s="4">
        <v>8.3599999999999994E-2</v>
      </c>
      <c r="D109" s="4">
        <v>8.3699999999999997E-2</v>
      </c>
      <c r="E109" s="4">
        <f>AVERAGE(Data_filter_paper_weights[[#This Row],[Weight_1]:[Weight_3]])</f>
        <v>8.3600000000000008E-2</v>
      </c>
      <c r="F109" s="4">
        <v>0.14399999999999999</v>
      </c>
      <c r="G109" s="4">
        <v>0.14410000000000001</v>
      </c>
      <c r="H109" s="4">
        <f>AVERAGE(Data_filter_paper_weights[[#This Row],[Dry_weight_of_sediment+filter_paper_1]:[Dry_weight_of_sediment+filter_paper_2]])</f>
        <v>0.14405000000000001</v>
      </c>
      <c r="I109" s="4">
        <f>Data_filter_paper_weights[[#This Row],[Average_weight_of_sediment+filter_paper]]-Data_filter_paper_weights[[#This Row],[Average_weight]]</f>
        <v>6.0450000000000004E-2</v>
      </c>
    </row>
    <row r="110" spans="1:9" x14ac:dyDescent="0.3">
      <c r="A110" t="s">
        <v>127</v>
      </c>
      <c r="B110" s="4">
        <v>8.4199999999999997E-2</v>
      </c>
      <c r="C110" s="4">
        <v>8.43E-2</v>
      </c>
      <c r="D110" s="4">
        <v>8.4199999999999997E-2</v>
      </c>
      <c r="E110" s="4">
        <f>AVERAGE(Data_filter_paper_weights[[#This Row],[Weight_1]:[Weight_3]])</f>
        <v>8.4233333333333327E-2</v>
      </c>
      <c r="F110" s="4">
        <v>0.13089999999999999</v>
      </c>
      <c r="G110" s="4">
        <v>0.13059999999999999</v>
      </c>
      <c r="H110" s="4">
        <f>AVERAGE(Data_filter_paper_weights[[#This Row],[Dry_weight_of_sediment+filter_paper_1]:[Dry_weight_of_sediment+filter_paper_2]])</f>
        <v>0.13074999999999998</v>
      </c>
      <c r="I110" s="4">
        <f>Data_filter_paper_weights[[#This Row],[Average_weight_of_sediment+filter_paper]]-Data_filter_paper_weights[[#This Row],[Average_weight]]</f>
        <v>4.6516666666666651E-2</v>
      </c>
    </row>
    <row r="111" spans="1:9" x14ac:dyDescent="0.3">
      <c r="A111" t="s">
        <v>128</v>
      </c>
      <c r="B111" s="4">
        <v>8.4099999999999994E-2</v>
      </c>
      <c r="C111" s="4">
        <v>8.3900000000000002E-2</v>
      </c>
      <c r="D111" s="4">
        <v>8.4000000000000005E-2</v>
      </c>
      <c r="E111" s="4">
        <f>AVERAGE(Data_filter_paper_weights[[#This Row],[Weight_1]:[Weight_3]])</f>
        <v>8.4000000000000005E-2</v>
      </c>
      <c r="F111" s="4">
        <v>0.12529999999999999</v>
      </c>
      <c r="G111" s="4">
        <v>0.12520000000000001</v>
      </c>
      <c r="H111" s="4">
        <f>AVERAGE(Data_filter_paper_weights[[#This Row],[Dry_weight_of_sediment+filter_paper_1]:[Dry_weight_of_sediment+filter_paper_2]])</f>
        <v>0.12525</v>
      </c>
      <c r="I111" s="4">
        <f>Data_filter_paper_weights[[#This Row],[Average_weight_of_sediment+filter_paper]]-Data_filter_paper_weights[[#This Row],[Average_weight]]</f>
        <v>4.1249999999999995E-2</v>
      </c>
    </row>
    <row r="112" spans="1:9" x14ac:dyDescent="0.3">
      <c r="A112" t="s">
        <v>129</v>
      </c>
      <c r="B112" s="4">
        <v>9.0800000000000006E-2</v>
      </c>
      <c r="C112" s="4">
        <v>9.0700000000000003E-2</v>
      </c>
      <c r="D112" s="4">
        <v>9.06E-2</v>
      </c>
      <c r="E112" s="4">
        <f>AVERAGE(Data_filter_paper_weights[[#This Row],[Weight_1]:[Weight_3]])</f>
        <v>9.0700000000000003E-2</v>
      </c>
      <c r="F112" s="4">
        <v>0.15939999999999999</v>
      </c>
      <c r="G112" s="4">
        <v>0.15939999999999999</v>
      </c>
      <c r="H112" s="4">
        <f>AVERAGE(Data_filter_paper_weights[[#This Row],[Dry_weight_of_sediment+filter_paper_1]:[Dry_weight_of_sediment+filter_paper_2]])</f>
        <v>0.15939999999999999</v>
      </c>
      <c r="I112" s="4">
        <f>Data_filter_paper_weights[[#This Row],[Average_weight_of_sediment+filter_paper]]-Data_filter_paper_weights[[#This Row],[Average_weight]]</f>
        <v>6.8699999999999983E-2</v>
      </c>
    </row>
    <row r="113" spans="1:9" x14ac:dyDescent="0.3">
      <c r="A113" t="s">
        <v>130</v>
      </c>
      <c r="B113" s="4">
        <v>8.4099999999999994E-2</v>
      </c>
      <c r="C113" s="4">
        <v>8.3900000000000002E-2</v>
      </c>
      <c r="D113" s="4">
        <v>8.4000000000000005E-2</v>
      </c>
      <c r="E113" s="4">
        <f>AVERAGE(Data_filter_paper_weights[[#This Row],[Weight_1]:[Weight_3]])</f>
        <v>8.4000000000000005E-2</v>
      </c>
      <c r="F113" s="4">
        <v>0.16020000000000001</v>
      </c>
      <c r="G113" s="4">
        <v>0.16020000000000001</v>
      </c>
      <c r="H113" s="4">
        <f>AVERAGE(Data_filter_paper_weights[[#This Row],[Dry_weight_of_sediment+filter_paper_1]:[Dry_weight_of_sediment+filter_paper_2]])</f>
        <v>0.16020000000000001</v>
      </c>
      <c r="I113" s="4">
        <f>Data_filter_paper_weights[[#This Row],[Average_weight_of_sediment+filter_paper]]-Data_filter_paper_weights[[#This Row],[Average_weight]]</f>
        <v>7.6200000000000004E-2</v>
      </c>
    </row>
    <row r="114" spans="1:9" x14ac:dyDescent="0.3">
      <c r="A114" t="s">
        <v>131</v>
      </c>
      <c r="B114" s="4">
        <v>8.77E-2</v>
      </c>
      <c r="C114" s="4">
        <v>8.7599999999999997E-2</v>
      </c>
      <c r="D114" s="4">
        <v>8.7400000000000005E-2</v>
      </c>
      <c r="E114" s="4">
        <f>AVERAGE(Data_filter_paper_weights[[#This Row],[Weight_1]:[Weight_3]])</f>
        <v>8.7566666666666682E-2</v>
      </c>
      <c r="F114" s="4">
        <v>0.1371</v>
      </c>
      <c r="G114" s="4">
        <v>0.13719999999999999</v>
      </c>
      <c r="H114" s="4">
        <f>AVERAGE(Data_filter_paper_weights[[#This Row],[Dry_weight_of_sediment+filter_paper_1]:[Dry_weight_of_sediment+filter_paper_2]])</f>
        <v>0.13714999999999999</v>
      </c>
      <c r="I114" s="4">
        <f>Data_filter_paper_weights[[#This Row],[Average_weight_of_sediment+filter_paper]]-Data_filter_paper_weights[[#This Row],[Average_weight]]</f>
        <v>4.9583333333333313E-2</v>
      </c>
    </row>
    <row r="115" spans="1:9" x14ac:dyDescent="0.3">
      <c r="A115" t="s">
        <v>132</v>
      </c>
      <c r="B115" s="4">
        <v>9.0899999999999995E-2</v>
      </c>
      <c r="C115" s="4">
        <v>9.0800000000000006E-2</v>
      </c>
      <c r="D115" s="4">
        <v>9.0999999999999998E-2</v>
      </c>
      <c r="E115" s="4">
        <f>AVERAGE(Data_filter_paper_weights[[#This Row],[Weight_1]:[Weight_3]])</f>
        <v>9.0899999999999995E-2</v>
      </c>
      <c r="F115" s="4">
        <v>0.1472</v>
      </c>
      <c r="G115" s="4">
        <v>0.1472</v>
      </c>
      <c r="H115" s="4">
        <f>AVERAGE(Data_filter_paper_weights[[#This Row],[Dry_weight_of_sediment+filter_paper_1]:[Dry_weight_of_sediment+filter_paper_2]])</f>
        <v>0.1472</v>
      </c>
      <c r="I115" s="4">
        <f>Data_filter_paper_weights[[#This Row],[Average_weight_of_sediment+filter_paper]]-Data_filter_paper_weights[[#This Row],[Average_weight]]</f>
        <v>5.6300000000000003E-2</v>
      </c>
    </row>
    <row r="116" spans="1:9" x14ac:dyDescent="0.3">
      <c r="A116" t="s">
        <v>133</v>
      </c>
      <c r="B116" s="4">
        <v>8.3900000000000002E-2</v>
      </c>
      <c r="C116" s="4">
        <v>8.4000000000000005E-2</v>
      </c>
      <c r="D116" s="4">
        <v>8.4000000000000005E-2</v>
      </c>
      <c r="E116" s="4">
        <f>AVERAGE(Data_filter_paper_weights[[#This Row],[Weight_1]:[Weight_3]])</f>
        <v>8.3966666666666676E-2</v>
      </c>
      <c r="F116" s="4">
        <v>0.1326</v>
      </c>
      <c r="G116" s="4">
        <v>0.1326</v>
      </c>
      <c r="H116" s="4">
        <f>AVERAGE(Data_filter_paper_weights[[#This Row],[Dry_weight_of_sediment+filter_paper_1]:[Dry_weight_of_sediment+filter_paper_2]])</f>
        <v>0.1326</v>
      </c>
      <c r="I116" s="4">
        <f>Data_filter_paper_weights[[#This Row],[Average_weight_of_sediment+filter_paper]]-Data_filter_paper_weights[[#This Row],[Average_weight]]</f>
        <v>4.863333333333332E-2</v>
      </c>
    </row>
    <row r="117" spans="1:9" x14ac:dyDescent="0.3">
      <c r="A117" t="s">
        <v>134</v>
      </c>
      <c r="B117" s="4">
        <v>8.3500000000000005E-2</v>
      </c>
      <c r="C117" s="4">
        <v>8.3599999999999994E-2</v>
      </c>
      <c r="D117" s="4">
        <v>8.3699999999999997E-2</v>
      </c>
      <c r="E117" s="4">
        <f>AVERAGE(Data_filter_paper_weights[[#This Row],[Weight_1]:[Weight_3]])</f>
        <v>8.3600000000000008E-2</v>
      </c>
      <c r="F117" s="4">
        <v>0.20280000000000001</v>
      </c>
      <c r="G117" s="4">
        <v>0.20269999999999999</v>
      </c>
      <c r="H117" s="4">
        <f>AVERAGE(Data_filter_paper_weights[[#This Row],[Dry_weight_of_sediment+filter_paper_1]:[Dry_weight_of_sediment+filter_paper_2]])</f>
        <v>0.20274999999999999</v>
      </c>
      <c r="I117" s="4">
        <f>Data_filter_paper_weights[[#This Row],[Average_weight_of_sediment+filter_paper]]-Data_filter_paper_weights[[#This Row],[Average_weight]]</f>
        <v>0.11914999999999998</v>
      </c>
    </row>
    <row r="118" spans="1:9" x14ac:dyDescent="0.3">
      <c r="A118" t="s">
        <v>135</v>
      </c>
      <c r="B118" s="4">
        <v>8.7499999999999994E-2</v>
      </c>
      <c r="C118" s="4">
        <v>8.7400000000000005E-2</v>
      </c>
      <c r="D118" s="4">
        <v>8.7300000000000003E-2</v>
      </c>
      <c r="E118" s="4">
        <f>AVERAGE(Data_filter_paper_weights[[#This Row],[Weight_1]:[Weight_3]])</f>
        <v>8.7399999999999992E-2</v>
      </c>
      <c r="F118" s="4">
        <v>0.18809999999999999</v>
      </c>
      <c r="G118" s="4">
        <v>0.18820000000000001</v>
      </c>
      <c r="H118" s="4">
        <f>AVERAGE(Data_filter_paper_weights[[#This Row],[Dry_weight_of_sediment+filter_paper_1]:[Dry_weight_of_sediment+filter_paper_2]])</f>
        <v>0.18814999999999998</v>
      </c>
      <c r="I118" s="4">
        <f>Data_filter_paper_weights[[#This Row],[Average_weight_of_sediment+filter_paper]]-Data_filter_paper_weights[[#This Row],[Average_weight]]</f>
        <v>0.10074999999999999</v>
      </c>
    </row>
    <row r="119" spans="1:9" x14ac:dyDescent="0.3">
      <c r="A119" t="s">
        <v>136</v>
      </c>
      <c r="B119" s="4">
        <v>9.0800000000000006E-2</v>
      </c>
      <c r="C119" s="4">
        <v>9.0700000000000003E-2</v>
      </c>
      <c r="D119" s="4">
        <v>9.06E-2</v>
      </c>
      <c r="E119" s="4">
        <f>AVERAGE(Data_filter_paper_weights[[#This Row],[Weight_1]:[Weight_3]])</f>
        <v>9.0700000000000003E-2</v>
      </c>
      <c r="F119" s="4">
        <v>0.14410000000000001</v>
      </c>
      <c r="G119" s="4">
        <v>0.14380000000000001</v>
      </c>
      <c r="H119" s="4">
        <f>AVERAGE(Data_filter_paper_weights[[#This Row],[Dry_weight_of_sediment+filter_paper_1]:[Dry_weight_of_sediment+filter_paper_2]])</f>
        <v>0.14395000000000002</v>
      </c>
      <c r="I119" s="4">
        <f>Data_filter_paper_weights[[#This Row],[Average_weight_of_sediment+filter_paper]]-Data_filter_paper_weights[[#This Row],[Average_weight]]</f>
        <v>5.325000000000002E-2</v>
      </c>
    </row>
    <row r="120" spans="1:9" x14ac:dyDescent="0.3">
      <c r="A120" t="s">
        <v>137</v>
      </c>
      <c r="B120" s="4">
        <v>9.0899999999999995E-2</v>
      </c>
      <c r="C120" s="4">
        <v>9.0800000000000006E-2</v>
      </c>
      <c r="D120" s="4">
        <v>9.0999999999999998E-2</v>
      </c>
      <c r="E120" s="4">
        <f>AVERAGE(Data_filter_paper_weights[[#This Row],[Weight_1]:[Weight_3]])</f>
        <v>9.0899999999999995E-2</v>
      </c>
      <c r="F120" s="4">
        <v>0.14430000000000001</v>
      </c>
      <c r="G120" s="4">
        <v>0.14419999999999999</v>
      </c>
      <c r="H120" s="4">
        <f>AVERAGE(Data_filter_paper_weights[[#This Row],[Dry_weight_of_sediment+filter_paper_1]:[Dry_weight_of_sediment+filter_paper_2]])</f>
        <v>0.14424999999999999</v>
      </c>
      <c r="I120" s="4">
        <f>Data_filter_paper_weights[[#This Row],[Average_weight_of_sediment+filter_paper]]-Data_filter_paper_weights[[#This Row],[Average_weight]]</f>
        <v>5.3349999999999995E-2</v>
      </c>
    </row>
    <row r="121" spans="1:9" x14ac:dyDescent="0.3">
      <c r="A121" t="s">
        <v>138</v>
      </c>
      <c r="B121" s="4">
        <v>8.8400000000000006E-2</v>
      </c>
      <c r="C121" s="4">
        <v>8.8599999999999998E-2</v>
      </c>
      <c r="D121" s="4">
        <v>8.8499999999999995E-2</v>
      </c>
      <c r="E121" s="4">
        <f>AVERAGE(Data_filter_paper_weights[[#This Row],[Weight_1]:[Weight_3]])</f>
        <v>8.8499999999999981E-2</v>
      </c>
      <c r="F121" s="4">
        <v>0.1479</v>
      </c>
      <c r="G121" s="4">
        <v>0.14779999999999999</v>
      </c>
      <c r="H121" s="4">
        <f>AVERAGE(Data_filter_paper_weights[[#This Row],[Dry_weight_of_sediment+filter_paper_1]:[Dry_weight_of_sediment+filter_paper_2]])</f>
        <v>0.14784999999999998</v>
      </c>
      <c r="I121" s="4">
        <f>Data_filter_paper_weights[[#This Row],[Average_weight_of_sediment+filter_paper]]-Data_filter_paper_weights[[#This Row],[Average_weight]]</f>
        <v>5.935E-2</v>
      </c>
    </row>
    <row r="122" spans="1:9" x14ac:dyDescent="0.3">
      <c r="A122" t="s">
        <v>139</v>
      </c>
      <c r="B122" s="4">
        <v>8.6800000000000002E-2</v>
      </c>
      <c r="C122" s="4">
        <v>8.6599999999999996E-2</v>
      </c>
      <c r="D122" s="4">
        <v>8.6699999999999999E-2</v>
      </c>
      <c r="E122" s="4">
        <f>AVERAGE(Data_filter_paper_weights[[#This Row],[Weight_1]:[Weight_3]])</f>
        <v>8.6699999999999999E-2</v>
      </c>
      <c r="F122" s="4">
        <v>0.1978</v>
      </c>
      <c r="G122" s="4">
        <v>0.1978</v>
      </c>
      <c r="H122" s="4">
        <f>AVERAGE(Data_filter_paper_weights[[#This Row],[Dry_weight_of_sediment+filter_paper_1]:[Dry_weight_of_sediment+filter_paper_2]])</f>
        <v>0.1978</v>
      </c>
      <c r="I122" s="4">
        <f>Data_filter_paper_weights[[#This Row],[Average_weight_of_sediment+filter_paper]]-Data_filter_paper_weights[[#This Row],[Average_weight]]</f>
        <v>0.1111</v>
      </c>
    </row>
    <row r="123" spans="1:9" x14ac:dyDescent="0.3">
      <c r="A123" t="s">
        <v>140</v>
      </c>
      <c r="B123" s="4">
        <v>8.4099999999999994E-2</v>
      </c>
      <c r="C123" s="4">
        <v>8.43E-2</v>
      </c>
      <c r="D123" s="4">
        <v>8.4199999999999997E-2</v>
      </c>
      <c r="E123" s="4">
        <f>AVERAGE(Data_filter_paper_weights[[#This Row],[Weight_1]:[Weight_3]])</f>
        <v>8.4199999999999997E-2</v>
      </c>
      <c r="F123" s="4">
        <v>0.14319999999999999</v>
      </c>
      <c r="G123" s="4">
        <v>0.1434</v>
      </c>
      <c r="H123" s="4">
        <f>AVERAGE(Data_filter_paper_weights[[#This Row],[Dry_weight_of_sediment+filter_paper_1]:[Dry_weight_of_sediment+filter_paper_2]])</f>
        <v>0.14329999999999998</v>
      </c>
      <c r="I123" s="4">
        <f>Data_filter_paper_weights[[#This Row],[Average_weight_of_sediment+filter_paper]]-Data_filter_paper_weights[[#This Row],[Average_weight]]</f>
        <v>5.9099999999999986E-2</v>
      </c>
    </row>
    <row r="124" spans="1:9" x14ac:dyDescent="0.3">
      <c r="A124" t="s">
        <v>141</v>
      </c>
      <c r="B124" s="4">
        <v>8.4199999999999997E-2</v>
      </c>
      <c r="C124" s="4">
        <v>8.4199999999999997E-2</v>
      </c>
      <c r="D124" s="4">
        <v>8.43E-2</v>
      </c>
      <c r="E124" s="4">
        <f>AVERAGE(Data_filter_paper_weights[[#This Row],[Weight_1]:[Weight_3]])</f>
        <v>8.4233333333333327E-2</v>
      </c>
      <c r="F124" s="4">
        <v>0.13880000000000001</v>
      </c>
      <c r="G124" s="4">
        <v>0.13850000000000001</v>
      </c>
      <c r="H124" s="4">
        <f>AVERAGE(Data_filter_paper_weights[[#This Row],[Dry_weight_of_sediment+filter_paper_1]:[Dry_weight_of_sediment+filter_paper_2]])</f>
        <v>0.13865</v>
      </c>
      <c r="I124" s="4">
        <f>Data_filter_paper_weights[[#This Row],[Average_weight_of_sediment+filter_paper]]-Data_filter_paper_weights[[#This Row],[Average_weight]]</f>
        <v>5.4416666666666669E-2</v>
      </c>
    </row>
    <row r="125" spans="1:9" x14ac:dyDescent="0.3">
      <c r="A125" t="s">
        <v>142</v>
      </c>
      <c r="B125" s="4">
        <v>8.4000000000000005E-2</v>
      </c>
      <c r="C125" s="4">
        <v>8.4099999999999994E-2</v>
      </c>
      <c r="D125" s="4">
        <v>8.3900000000000002E-2</v>
      </c>
      <c r="E125" s="4">
        <f>AVERAGE(Data_filter_paper_weights[[#This Row],[Weight_1]:[Weight_3]])</f>
        <v>8.4000000000000005E-2</v>
      </c>
      <c r="F125" s="4">
        <v>0.13370000000000001</v>
      </c>
      <c r="G125" s="4">
        <v>0.13350000000000001</v>
      </c>
      <c r="H125" s="4">
        <f>AVERAGE(Data_filter_paper_weights[[#This Row],[Dry_weight_of_sediment+filter_paper_1]:[Dry_weight_of_sediment+filter_paper_2]])</f>
        <v>0.1336</v>
      </c>
      <c r="I125" s="4">
        <f>Data_filter_paper_weights[[#This Row],[Average_weight_of_sediment+filter_paper]]-Data_filter_paper_weights[[#This Row],[Average_weight]]</f>
        <v>4.9599999999999991E-2</v>
      </c>
    </row>
    <row r="126" spans="1:9" x14ac:dyDescent="0.3">
      <c r="A126" t="s">
        <v>239</v>
      </c>
      <c r="B126" s="4">
        <v>8.4099999999999994E-2</v>
      </c>
      <c r="C126" s="4">
        <v>8.43E-2</v>
      </c>
      <c r="D126" s="4">
        <v>8.4199999999999997E-2</v>
      </c>
      <c r="E126" s="4">
        <f>AVERAGE(Data_filter_paper_weights[[#This Row],[Weight_1]:[Weight_3]])</f>
        <v>8.4199999999999997E-2</v>
      </c>
      <c r="F126" s="4">
        <v>0.1406</v>
      </c>
      <c r="G126" s="4">
        <v>0.1404</v>
      </c>
      <c r="H126" s="4">
        <f>AVERAGE(Data_filter_paper_weights[[#This Row],[Dry_weight_of_sediment+filter_paper_1]:[Dry_weight_of_sediment+filter_paper_2]])</f>
        <v>0.14050000000000001</v>
      </c>
      <c r="I126" s="4">
        <f>Data_filter_paper_weights[[#This Row],[Average_weight_of_sediment+filter_paper]]-Data_filter_paper_weights[[#This Row],[Average_weight]]</f>
        <v>5.6300000000000017E-2</v>
      </c>
    </row>
    <row r="127" spans="1:9" x14ac:dyDescent="0.3">
      <c r="A127" t="s">
        <v>240</v>
      </c>
      <c r="B127" s="4">
        <v>8.4199999999999997E-2</v>
      </c>
      <c r="C127" s="4">
        <v>8.4199999999999997E-2</v>
      </c>
      <c r="D127" s="4">
        <v>8.43E-2</v>
      </c>
      <c r="E127" s="4">
        <f>AVERAGE(Data_filter_paper_weights[[#This Row],[Weight_1]:[Weight_3]])</f>
        <v>8.4233333333333327E-2</v>
      </c>
      <c r="F127" s="4">
        <v>0.15559999999999999</v>
      </c>
      <c r="G127" s="4">
        <v>0.15590000000000001</v>
      </c>
      <c r="H127" s="4">
        <f>AVERAGE(Data_filter_paper_weights[[#This Row],[Dry_weight_of_sediment+filter_paper_1]:[Dry_weight_of_sediment+filter_paper_2]])</f>
        <v>0.15575</v>
      </c>
      <c r="I127" s="4">
        <f>Data_filter_paper_weights[[#This Row],[Average_weight_of_sediment+filter_paper]]-Data_filter_paper_weights[[#This Row],[Average_weight]]</f>
        <v>7.1516666666666673E-2</v>
      </c>
    </row>
    <row r="128" spans="1:9" x14ac:dyDescent="0.3">
      <c r="A128" t="s">
        <v>241</v>
      </c>
      <c r="B128" s="4">
        <v>8.4000000000000005E-2</v>
      </c>
      <c r="C128" s="4">
        <v>8.3900000000000002E-2</v>
      </c>
      <c r="D128" s="4">
        <v>8.4000000000000005E-2</v>
      </c>
      <c r="E128" s="4">
        <f>AVERAGE(Data_filter_paper_weights[[#This Row],[Weight_1]:[Weight_3]])</f>
        <v>8.3966666666666676E-2</v>
      </c>
      <c r="F128" s="4">
        <v>0.18260000000000001</v>
      </c>
      <c r="G128" s="4">
        <v>0.18260000000000001</v>
      </c>
      <c r="H128" s="4">
        <f>AVERAGE(Data_filter_paper_weights[[#This Row],[Dry_weight_of_sediment+filter_paper_1]:[Dry_weight_of_sediment+filter_paper_2]])</f>
        <v>0.18260000000000001</v>
      </c>
      <c r="I128" s="4">
        <f>Data_filter_paper_weights[[#This Row],[Average_weight_of_sediment+filter_paper]]-Data_filter_paper_weights[[#This Row],[Average_weight]]</f>
        <v>9.8633333333333337E-2</v>
      </c>
    </row>
    <row r="129" spans="1:9" x14ac:dyDescent="0.3">
      <c r="A129" t="s">
        <v>242</v>
      </c>
      <c r="B129" s="4">
        <v>8.4199999999999997E-2</v>
      </c>
      <c r="C129" s="4">
        <v>8.4199999999999997E-2</v>
      </c>
      <c r="D129" s="4">
        <v>8.43E-2</v>
      </c>
      <c r="E129" s="4">
        <f>AVERAGE(Data_filter_paper_weights[[#This Row],[Weight_1]:[Weight_3]])</f>
        <v>8.4233333333333327E-2</v>
      </c>
      <c r="F129" s="4">
        <v>0.1182</v>
      </c>
      <c r="G129" s="4">
        <v>0.1183</v>
      </c>
      <c r="H129" s="4">
        <f>AVERAGE(Data_filter_paper_weights[[#This Row],[Dry_weight_of_sediment+filter_paper_1]:[Dry_weight_of_sediment+filter_paper_2]])</f>
        <v>0.11824999999999999</v>
      </c>
      <c r="I129" s="4">
        <f>Data_filter_paper_weights[[#This Row],[Average_weight_of_sediment+filter_paper]]-Data_filter_paper_weights[[#This Row],[Average_weight]]</f>
        <v>3.4016666666666667E-2</v>
      </c>
    </row>
    <row r="130" spans="1:9" x14ac:dyDescent="0.3">
      <c r="A130" t="s">
        <v>243</v>
      </c>
      <c r="B130" s="4">
        <v>8.4000000000000005E-2</v>
      </c>
      <c r="C130" s="4">
        <v>8.4099999999999994E-2</v>
      </c>
      <c r="D130" s="4">
        <v>8.3900000000000002E-2</v>
      </c>
      <c r="E130" s="4">
        <f>AVERAGE(Data_filter_paper_weights[[#This Row],[Weight_1]:[Weight_3]])</f>
        <v>8.4000000000000005E-2</v>
      </c>
      <c r="F130" s="4">
        <v>0.19170000000000001</v>
      </c>
      <c r="G130" s="4">
        <v>0.1918</v>
      </c>
      <c r="H130" s="4">
        <f>AVERAGE(Data_filter_paper_weights[[#This Row],[Dry_weight_of_sediment+filter_paper_1]:[Dry_weight_of_sediment+filter_paper_2]])</f>
        <v>0.19175</v>
      </c>
      <c r="I130" s="4">
        <f>Data_filter_paper_weights[[#This Row],[Average_weight_of_sediment+filter_paper]]-Data_filter_paper_weights[[#This Row],[Average_weight]]</f>
        <v>0.10775</v>
      </c>
    </row>
    <row r="131" spans="1:9" x14ac:dyDescent="0.3">
      <c r="A131" t="s">
        <v>244</v>
      </c>
      <c r="B131" s="4">
        <v>8.3699999999999997E-2</v>
      </c>
      <c r="C131" s="4">
        <v>8.3500000000000005E-2</v>
      </c>
      <c r="D131" s="4">
        <v>8.3599999999999994E-2</v>
      </c>
      <c r="E131" s="4">
        <f>AVERAGE(Data_filter_paper_weights[[#This Row],[Weight_1]:[Weight_3]])</f>
        <v>8.3600000000000008E-2</v>
      </c>
      <c r="F131" s="4">
        <v>0.12280000000000001</v>
      </c>
      <c r="G131" s="4">
        <v>0.12280000000000001</v>
      </c>
      <c r="H131" s="4">
        <f>AVERAGE(Data_filter_paper_weights[[#This Row],[Dry_weight_of_sediment+filter_paper_1]:[Dry_weight_of_sediment+filter_paper_2]])</f>
        <v>0.12280000000000001</v>
      </c>
      <c r="I131" s="4">
        <f>Data_filter_paper_weights[[#This Row],[Average_weight_of_sediment+filter_paper]]-Data_filter_paper_weights[[#This Row],[Average_weight]]</f>
        <v>3.9199999999999999E-2</v>
      </c>
    </row>
    <row r="132" spans="1:9" x14ac:dyDescent="0.3">
      <c r="A132" t="s">
        <v>245</v>
      </c>
      <c r="B132" s="4">
        <v>8.4000000000000005E-2</v>
      </c>
      <c r="C132" s="4">
        <v>8.4000000000000005E-2</v>
      </c>
      <c r="D132" s="4">
        <v>8.3900000000000002E-2</v>
      </c>
      <c r="E132" s="4">
        <f>AVERAGE(Data_filter_paper_weights[[#This Row],[Weight_1]:[Weight_3]])</f>
        <v>8.3966666666666676E-2</v>
      </c>
      <c r="F132" s="4">
        <v>0.1457</v>
      </c>
      <c r="G132" s="4">
        <v>0.14560000000000001</v>
      </c>
      <c r="H132" s="4">
        <f>AVERAGE(Data_filter_paper_weights[[#This Row],[Dry_weight_of_sediment+filter_paper_1]:[Dry_weight_of_sediment+filter_paper_2]])</f>
        <v>0.14565</v>
      </c>
      <c r="I132" s="4">
        <f>Data_filter_paper_weights[[#This Row],[Average_weight_of_sediment+filter_paper]]-Data_filter_paper_weights[[#This Row],[Average_weight]]</f>
        <v>6.1683333333333326E-2</v>
      </c>
    </row>
    <row r="133" spans="1:9" x14ac:dyDescent="0.3">
      <c r="A133" t="s">
        <v>246</v>
      </c>
      <c r="B133" s="4">
        <v>8.4099999999999994E-2</v>
      </c>
      <c r="C133" s="4">
        <v>8.43E-2</v>
      </c>
      <c r="D133" s="4">
        <v>8.4199999999999997E-2</v>
      </c>
      <c r="E133" s="4">
        <f>AVERAGE(Data_filter_paper_weights[[#This Row],[Weight_1]:[Weight_3]])</f>
        <v>8.4199999999999997E-2</v>
      </c>
      <c r="F133" s="4">
        <v>0.1227</v>
      </c>
      <c r="G133" s="4">
        <v>0.1227</v>
      </c>
      <c r="H133" s="4">
        <f>AVERAGE(Data_filter_paper_weights[[#This Row],[Dry_weight_of_sediment+filter_paper_1]:[Dry_weight_of_sediment+filter_paper_2]])</f>
        <v>0.1227</v>
      </c>
      <c r="I133" s="4">
        <f>Data_filter_paper_weights[[#This Row],[Average_weight_of_sediment+filter_paper]]-Data_filter_paper_weights[[#This Row],[Average_weight]]</f>
        <v>3.8500000000000006E-2</v>
      </c>
    </row>
    <row r="134" spans="1:9" x14ac:dyDescent="0.3">
      <c r="A134" t="s">
        <v>247</v>
      </c>
      <c r="B134" s="4">
        <v>8.4199999999999997E-2</v>
      </c>
      <c r="C134" s="4">
        <v>8.4199999999999997E-2</v>
      </c>
      <c r="D134" s="4">
        <v>8.43E-2</v>
      </c>
      <c r="E134" s="4">
        <f>AVERAGE(Data_filter_paper_weights[[#This Row],[Weight_1]:[Weight_3]])</f>
        <v>8.4233333333333327E-2</v>
      </c>
      <c r="F134" s="4">
        <v>0.14580000000000001</v>
      </c>
      <c r="G134" s="4">
        <v>0.1457</v>
      </c>
      <c r="H134" s="4">
        <f>AVERAGE(Data_filter_paper_weights[[#This Row],[Dry_weight_of_sediment+filter_paper_1]:[Dry_weight_of_sediment+filter_paper_2]])</f>
        <v>0.14574999999999999</v>
      </c>
      <c r="I134" s="4">
        <f>Data_filter_paper_weights[[#This Row],[Average_weight_of_sediment+filter_paper]]-Data_filter_paper_weights[[#This Row],[Average_weight]]</f>
        <v>6.1516666666666664E-2</v>
      </c>
    </row>
    <row r="135" spans="1:9" x14ac:dyDescent="0.3">
      <c r="A135" t="s">
        <v>248</v>
      </c>
      <c r="B135" s="4">
        <v>8.4000000000000005E-2</v>
      </c>
      <c r="C135" s="4">
        <v>8.3900000000000002E-2</v>
      </c>
      <c r="D135" s="4">
        <v>8.4000000000000005E-2</v>
      </c>
      <c r="E135" s="4">
        <f>AVERAGE(Data_filter_paper_weights[[#This Row],[Weight_1]:[Weight_3]])</f>
        <v>8.3966666666666676E-2</v>
      </c>
      <c r="F135" s="4">
        <v>0.15820000000000001</v>
      </c>
      <c r="G135" s="4">
        <v>0.15809999999999999</v>
      </c>
      <c r="H135" s="4">
        <f>AVERAGE(Data_filter_paper_weights[[#This Row],[Dry_weight_of_sediment+filter_paper_1]:[Dry_weight_of_sediment+filter_paper_2]])</f>
        <v>0.15815000000000001</v>
      </c>
      <c r="I135" s="4">
        <f>Data_filter_paper_weights[[#This Row],[Average_weight_of_sediment+filter_paper]]-Data_filter_paper_weights[[#This Row],[Average_weight]]</f>
        <v>7.4183333333333337E-2</v>
      </c>
    </row>
    <row r="136" spans="1:9" x14ac:dyDescent="0.3">
      <c r="A136" t="s">
        <v>259</v>
      </c>
      <c r="B136" s="4">
        <v>8.3900000000000002E-2</v>
      </c>
      <c r="C136" s="4">
        <v>8.4000000000000005E-2</v>
      </c>
      <c r="D136" s="4">
        <v>8.4000000000000005E-2</v>
      </c>
      <c r="E136" s="4">
        <f>AVERAGE(Data_filter_paper_weights[[#This Row],[Weight_1]:[Weight_3]])</f>
        <v>8.3966666666666676E-2</v>
      </c>
      <c r="F136" s="4">
        <v>0.1326</v>
      </c>
      <c r="G136" s="4">
        <v>0.1326</v>
      </c>
      <c r="H136" s="4">
        <f>AVERAGE(Data_filter_paper_weights[[#This Row],[Dry_weight_of_sediment+filter_paper_1]:[Dry_weight_of_sediment+filter_paper_2]])</f>
        <v>0.1326</v>
      </c>
      <c r="I136" s="4">
        <f>Data_filter_paper_weights[[#This Row],[Average_weight_of_sediment+filter_paper]]-Data_filter_paper_weights[[#This Row],[Average_weight]]</f>
        <v>4.863333333333332E-2</v>
      </c>
    </row>
    <row r="137" spans="1:9" x14ac:dyDescent="0.3">
      <c r="A137" t="s">
        <v>265</v>
      </c>
      <c r="B137" s="4">
        <v>8.3500000000000005E-2</v>
      </c>
      <c r="C137" s="4">
        <v>8.3599999999999994E-2</v>
      </c>
      <c r="D137" s="4">
        <v>8.3699999999999997E-2</v>
      </c>
      <c r="E137" s="4">
        <f>AVERAGE(Data_filter_paper_weights[[#This Row],[Weight_1]:[Weight_3]])</f>
        <v>8.3600000000000008E-2</v>
      </c>
      <c r="F137" s="4">
        <v>0.20280000000000001</v>
      </c>
      <c r="G137" s="4">
        <v>0.20269999999999999</v>
      </c>
      <c r="H137" s="4">
        <f>AVERAGE(Data_filter_paper_weights[[#This Row],[Dry_weight_of_sediment+filter_paper_1]:[Dry_weight_of_sediment+filter_paper_2]])</f>
        <v>0.20274999999999999</v>
      </c>
      <c r="I137" s="4">
        <f>Data_filter_paper_weights[[#This Row],[Average_weight_of_sediment+filter_paper]]-Data_filter_paper_weights[[#This Row],[Average_weight]]</f>
        <v>0.11914999999999998</v>
      </c>
    </row>
    <row r="138" spans="1:9" x14ac:dyDescent="0.3">
      <c r="A138" t="s">
        <v>266</v>
      </c>
      <c r="B138" s="4">
        <v>8.4099999999999994E-2</v>
      </c>
      <c r="C138" s="4">
        <v>8.3900000000000002E-2</v>
      </c>
      <c r="D138" s="4">
        <v>8.4000000000000005E-2</v>
      </c>
      <c r="E138" s="4">
        <f>AVERAGE(Data_filter_paper_weights[[#This Row],[Weight_1]:[Weight_3]])</f>
        <v>8.4000000000000005E-2</v>
      </c>
      <c r="F138" s="4">
        <v>0.12529999999999999</v>
      </c>
      <c r="G138" s="4">
        <v>0.12520000000000001</v>
      </c>
      <c r="H138" s="4">
        <f>AVERAGE(Data_filter_paper_weights[[#This Row],[Dry_weight_of_sediment+filter_paper_1]:[Dry_weight_of_sediment+filter_paper_2]])</f>
        <v>0.12525</v>
      </c>
      <c r="I138" s="4">
        <f>Data_filter_paper_weights[[#This Row],[Average_weight_of_sediment+filter_paper]]-Data_filter_paper_weights[[#This Row],[Average_weight]]</f>
        <v>4.1249999999999995E-2</v>
      </c>
    </row>
    <row r="139" spans="1:9" x14ac:dyDescent="0.3">
      <c r="A139" t="s">
        <v>267</v>
      </c>
      <c r="B139" s="4">
        <v>8.8599999999999998E-2</v>
      </c>
      <c r="C139" s="4">
        <v>8.8499999999999995E-2</v>
      </c>
      <c r="D139" s="4">
        <v>8.8400000000000006E-2</v>
      </c>
      <c r="E139" s="4">
        <f>AVERAGE(Data_filter_paper_weights[[#This Row],[Weight_1]:[Weight_3]])</f>
        <v>8.8499999999999981E-2</v>
      </c>
      <c r="F139" s="4">
        <v>0.15179999999999999</v>
      </c>
      <c r="G139" s="4">
        <v>0.1517</v>
      </c>
      <c r="H139" s="4">
        <f>AVERAGE(Data_filter_paper_weights[[#This Row],[Dry_weight_of_sediment+filter_paper_1]:[Dry_weight_of_sediment+filter_paper_2]])</f>
        <v>0.15175</v>
      </c>
      <c r="I139" s="4">
        <f>Data_filter_paper_weights[[#This Row],[Average_weight_of_sediment+filter_paper]]-Data_filter_paper_weights[[#This Row],[Average_weight]]</f>
        <v>6.3250000000000015E-2</v>
      </c>
    </row>
    <row r="140" spans="1:9" x14ac:dyDescent="0.3">
      <c r="A140" t="s">
        <v>268</v>
      </c>
      <c r="B140" s="4">
        <v>8.6599999999999996E-2</v>
      </c>
      <c r="C140" s="4">
        <v>8.6699999999999999E-2</v>
      </c>
      <c r="D140" s="4">
        <v>8.6800000000000002E-2</v>
      </c>
      <c r="E140" s="4">
        <f>AVERAGE(Data_filter_paper_weights[[#This Row],[Weight_1]:[Weight_3]])</f>
        <v>8.6699999999999999E-2</v>
      </c>
      <c r="F140" s="4">
        <v>0.1588</v>
      </c>
      <c r="G140" s="4">
        <v>0.15890000000000001</v>
      </c>
      <c r="H140" s="4">
        <f>AVERAGE(Data_filter_paper_weights[[#This Row],[Dry_weight_of_sediment+filter_paper_1]:[Dry_weight_of_sediment+filter_paper_2]])</f>
        <v>0.15884999999999999</v>
      </c>
      <c r="I140" s="4">
        <f>Data_filter_paper_weights[[#This Row],[Average_weight_of_sediment+filter_paper]]-Data_filter_paper_weights[[#This Row],[Average_weight]]</f>
        <v>7.2149999999999992E-2</v>
      </c>
    </row>
    <row r="141" spans="1:9" x14ac:dyDescent="0.3">
      <c r="A141" t="s">
        <v>269</v>
      </c>
      <c r="B141" s="4">
        <v>8.43E-2</v>
      </c>
      <c r="C141" s="4">
        <v>8.4199999999999997E-2</v>
      </c>
      <c r="D141" s="4">
        <v>8.4099999999999994E-2</v>
      </c>
      <c r="E141" s="4">
        <f>AVERAGE(Data_filter_paper_weights[[#This Row],[Weight_1]:[Weight_3]])</f>
        <v>8.4199999999999997E-2</v>
      </c>
      <c r="F141" s="4">
        <v>0.14449999999999999</v>
      </c>
      <c r="G141" s="4">
        <v>0.14460000000000001</v>
      </c>
      <c r="H141" s="4">
        <f>AVERAGE(Data_filter_paper_weights[[#This Row],[Dry_weight_of_sediment+filter_paper_1]:[Dry_weight_of_sediment+filter_paper_2]])</f>
        <v>0.14455000000000001</v>
      </c>
      <c r="I141" s="4">
        <f>Data_filter_paper_weights[[#This Row],[Average_weight_of_sediment+filter_paper]]-Data_filter_paper_weights[[#This Row],[Average_weight]]</f>
        <v>6.0350000000000015E-2</v>
      </c>
    </row>
    <row r="142" spans="1:9" x14ac:dyDescent="0.3">
      <c r="A142" t="s">
        <v>270</v>
      </c>
      <c r="B142" s="4">
        <v>8.77E-2</v>
      </c>
      <c r="C142" s="4">
        <v>8.7599999999999997E-2</v>
      </c>
      <c r="D142" s="4">
        <v>8.7400000000000005E-2</v>
      </c>
      <c r="E142" s="4">
        <f>AVERAGE(Data_filter_paper_weights[[#This Row],[Weight_1]:[Weight_3]])</f>
        <v>8.7566666666666682E-2</v>
      </c>
      <c r="F142" s="4">
        <v>0.1764</v>
      </c>
      <c r="G142" s="4">
        <v>0.17630000000000001</v>
      </c>
      <c r="H142" s="4">
        <f>AVERAGE(Data_filter_paper_weights[[#This Row],[Dry_weight_of_sediment+filter_paper_1]:[Dry_weight_of_sediment+filter_paper_2]])</f>
        <v>0.17635000000000001</v>
      </c>
      <c r="I142" s="4">
        <f>Data_filter_paper_weights[[#This Row],[Average_weight_of_sediment+filter_paper]]-Data_filter_paper_weights[[#This Row],[Average_weight]]</f>
        <v>8.8783333333333325E-2</v>
      </c>
    </row>
    <row r="143" spans="1:9" x14ac:dyDescent="0.3">
      <c r="A143" t="s">
        <v>271</v>
      </c>
      <c r="B143" s="4">
        <v>9.0899999999999995E-2</v>
      </c>
      <c r="C143" s="4">
        <v>9.0800000000000006E-2</v>
      </c>
      <c r="D143" s="4">
        <v>9.0999999999999998E-2</v>
      </c>
      <c r="E143" s="4">
        <f>AVERAGE(Data_filter_paper_weights[[#This Row],[Weight_1]:[Weight_3]])</f>
        <v>9.0899999999999995E-2</v>
      </c>
      <c r="F143" s="4">
        <v>0.14050000000000001</v>
      </c>
      <c r="G143" s="4">
        <v>0.14050000000000001</v>
      </c>
      <c r="H143" s="4">
        <f>AVERAGE(Data_filter_paper_weights[[#This Row],[Dry_weight_of_sediment+filter_paper_1]:[Dry_weight_of_sediment+filter_paper_2]])</f>
        <v>0.14050000000000001</v>
      </c>
      <c r="I143" s="4">
        <f>Data_filter_paper_weights[[#This Row],[Average_weight_of_sediment+filter_paper]]-Data_filter_paper_weights[[#This Row],[Average_weight]]</f>
        <v>4.9600000000000019E-2</v>
      </c>
    </row>
    <row r="144" spans="1:9" x14ac:dyDescent="0.3">
      <c r="A144" t="s">
        <v>272</v>
      </c>
      <c r="B144" s="4">
        <v>8.3900000000000002E-2</v>
      </c>
      <c r="C144" s="4">
        <v>8.4000000000000005E-2</v>
      </c>
      <c r="D144" s="4">
        <v>8.4000000000000005E-2</v>
      </c>
      <c r="E144" s="4">
        <f>AVERAGE(Data_filter_paper_weights[[#This Row],[Weight_1]:[Weight_3]])</f>
        <v>8.3966666666666676E-2</v>
      </c>
      <c r="F144" s="4">
        <v>0.46179999999999999</v>
      </c>
      <c r="G144" s="4">
        <v>0.4617</v>
      </c>
      <c r="H144" s="4">
        <f>AVERAGE(Data_filter_paper_weights[[#This Row],[Dry_weight_of_sediment+filter_paper_1]:[Dry_weight_of_sediment+filter_paper_2]])</f>
        <v>0.46174999999999999</v>
      </c>
      <c r="I144" s="4">
        <f>Data_filter_paper_weights[[#This Row],[Average_weight_of_sediment+filter_paper]]-Data_filter_paper_weights[[#This Row],[Average_weight]]</f>
        <v>0.3777833333333333</v>
      </c>
    </row>
    <row r="145" spans="1:9" x14ac:dyDescent="0.3">
      <c r="A145" t="s">
        <v>273</v>
      </c>
      <c r="B145" s="4">
        <v>8.3500000000000005E-2</v>
      </c>
      <c r="C145" s="4">
        <v>8.3599999999999994E-2</v>
      </c>
      <c r="D145" s="4">
        <v>8.3699999999999997E-2</v>
      </c>
      <c r="E145" s="4">
        <f>AVERAGE(Data_filter_paper_weights[[#This Row],[Weight_1]:[Weight_3]])</f>
        <v>8.3600000000000008E-2</v>
      </c>
      <c r="F145" s="4">
        <v>0.17499999999999999</v>
      </c>
      <c r="G145" s="4">
        <v>0.17499999999999999</v>
      </c>
      <c r="H145" s="4">
        <f>AVERAGE(Data_filter_paper_weights[[#This Row],[Dry_weight_of_sediment+filter_paper_1]:[Dry_weight_of_sediment+filter_paper_2]])</f>
        <v>0.17499999999999999</v>
      </c>
      <c r="I145" s="4">
        <f>Data_filter_paper_weights[[#This Row],[Average_weight_of_sediment+filter_paper]]-Data_filter_paper_weights[[#This Row],[Average_weight]]</f>
        <v>9.1399999999999981E-2</v>
      </c>
    </row>
    <row r="146" spans="1:9" x14ac:dyDescent="0.3">
      <c r="A146" t="s">
        <v>274</v>
      </c>
      <c r="B146" s="4">
        <v>8.8599999999999998E-2</v>
      </c>
      <c r="C146" s="4">
        <v>8.8499999999999995E-2</v>
      </c>
      <c r="D146" s="4">
        <v>8.8400000000000006E-2</v>
      </c>
      <c r="E146" s="4">
        <f>AVERAGE(Data_filter_paper_weights[[#This Row],[Weight_1]:[Weight_3]])</f>
        <v>8.8499999999999981E-2</v>
      </c>
      <c r="F146" s="4">
        <v>0.18010000000000001</v>
      </c>
      <c r="G146" s="4">
        <v>0.1799</v>
      </c>
      <c r="H146" s="4">
        <f>AVERAGE(Data_filter_paper_weights[[#This Row],[Dry_weight_of_sediment+filter_paper_1]:[Dry_weight_of_sediment+filter_paper_2]])</f>
        <v>0.18</v>
      </c>
      <c r="I146" s="4">
        <f>Data_filter_paper_weights[[#This Row],[Average_weight_of_sediment+filter_paper]]-Data_filter_paper_weights[[#This Row],[Average_weight]]</f>
        <v>9.1500000000000012E-2</v>
      </c>
    </row>
    <row r="147" spans="1:9" x14ac:dyDescent="0.3">
      <c r="A147" t="s">
        <v>275</v>
      </c>
      <c r="B147" s="4">
        <v>9.0800000000000006E-2</v>
      </c>
      <c r="C147" s="4">
        <v>9.0700000000000003E-2</v>
      </c>
      <c r="D147" s="4">
        <v>9.06E-2</v>
      </c>
      <c r="E147" s="4">
        <f>AVERAGE(Data_filter_paper_weights[[#This Row],[Weight_1]:[Weight_3]])</f>
        <v>9.0700000000000003E-2</v>
      </c>
      <c r="F147" s="4">
        <v>0.1011</v>
      </c>
      <c r="G147" s="4">
        <v>0.1011</v>
      </c>
      <c r="H147" s="4">
        <f>AVERAGE(Data_filter_paper_weights[[#This Row],[Dry_weight_of_sediment+filter_paper_1]:[Dry_weight_of_sediment+filter_paper_2]])</f>
        <v>0.1011</v>
      </c>
      <c r="I147" s="4">
        <f>Data_filter_paper_weights[[#This Row],[Average_weight_of_sediment+filter_paper]]-Data_filter_paper_weights[[#This Row],[Average_weight]]</f>
        <v>1.0399999999999993E-2</v>
      </c>
    </row>
    <row r="148" spans="1:9" x14ac:dyDescent="0.3">
      <c r="A148" t="s">
        <v>276</v>
      </c>
      <c r="B148" s="4">
        <v>8.4099999999999994E-2</v>
      </c>
      <c r="C148" s="4">
        <v>8.3900000000000002E-2</v>
      </c>
      <c r="D148" s="4">
        <v>8.4000000000000005E-2</v>
      </c>
      <c r="E148" s="4">
        <f>AVERAGE(Data_filter_paper_weights[[#This Row],[Weight_1]:[Weight_3]])</f>
        <v>8.4000000000000005E-2</v>
      </c>
      <c r="F148" s="4">
        <v>0.1095</v>
      </c>
      <c r="G148" s="4">
        <v>0.1096</v>
      </c>
      <c r="H148" s="4">
        <f>AVERAGE(Data_filter_paper_weights[[#This Row],[Dry_weight_of_sediment+filter_paper_1]:[Dry_weight_of_sediment+filter_paper_2]])</f>
        <v>0.10955000000000001</v>
      </c>
      <c r="I148" s="4">
        <f>Data_filter_paper_weights[[#This Row],[Average_weight_of_sediment+filter_paper]]-Data_filter_paper_weights[[#This Row],[Average_weight]]</f>
        <v>2.5550000000000003E-2</v>
      </c>
    </row>
    <row r="149" spans="1:9" x14ac:dyDescent="0.3">
      <c r="A149" t="s">
        <v>277</v>
      </c>
      <c r="B149" s="4">
        <v>8.77E-2</v>
      </c>
      <c r="C149" s="4">
        <v>8.7599999999999997E-2</v>
      </c>
      <c r="D149" s="4">
        <v>8.7400000000000005E-2</v>
      </c>
      <c r="E149" s="4">
        <f>AVERAGE(Data_filter_paper_weights[[#This Row],[Weight_1]:[Weight_3]])</f>
        <v>8.7566666666666682E-2</v>
      </c>
      <c r="F149" s="4">
        <v>0.1764</v>
      </c>
      <c r="G149" s="4">
        <v>0.17630000000000001</v>
      </c>
      <c r="H149" s="4">
        <f>AVERAGE(Data_filter_paper_weights[[#This Row],[Dry_weight_of_sediment+filter_paper_1]:[Dry_weight_of_sediment+filter_paper_2]])</f>
        <v>0.17635000000000001</v>
      </c>
      <c r="I149" s="4">
        <f>Data_filter_paper_weights[[#This Row],[Average_weight_of_sediment+filter_paper]]-Data_filter_paper_weights[[#This Row],[Average_weight]]</f>
        <v>8.8783333333333325E-2</v>
      </c>
    </row>
    <row r="150" spans="1:9" x14ac:dyDescent="0.3">
      <c r="A150" t="s">
        <v>278</v>
      </c>
      <c r="B150" s="4">
        <v>9.0899999999999995E-2</v>
      </c>
      <c r="C150" s="4">
        <v>9.0800000000000006E-2</v>
      </c>
      <c r="D150" s="4">
        <v>9.0999999999999998E-2</v>
      </c>
      <c r="E150" s="4">
        <f>AVERAGE(Data_filter_paper_weights[[#This Row],[Weight_1]:[Weight_3]])</f>
        <v>9.0899999999999995E-2</v>
      </c>
      <c r="F150" s="4">
        <v>0.14050000000000001</v>
      </c>
      <c r="G150" s="4">
        <v>0.14050000000000001</v>
      </c>
      <c r="H150" s="4">
        <f>AVERAGE(Data_filter_paper_weights[[#This Row],[Dry_weight_of_sediment+filter_paper_1]:[Dry_weight_of_sediment+filter_paper_2]])</f>
        <v>0.14050000000000001</v>
      </c>
      <c r="I150" s="4">
        <f>Data_filter_paper_weights[[#This Row],[Average_weight_of_sediment+filter_paper]]-Data_filter_paper_weights[[#This Row],[Average_weight]]</f>
        <v>4.9600000000000019E-2</v>
      </c>
    </row>
    <row r="151" spans="1:9" x14ac:dyDescent="0.3">
      <c r="A151" t="s">
        <v>279</v>
      </c>
      <c r="B151" s="4">
        <v>9.0899999999999995E-2</v>
      </c>
      <c r="C151" s="4">
        <v>9.0800000000000006E-2</v>
      </c>
      <c r="D151" s="4">
        <v>9.0999999999999998E-2</v>
      </c>
      <c r="E151" s="4">
        <f>AVERAGE(Data_filter_paper_weights[[#This Row],[Weight_1]:[Weight_3]])</f>
        <v>9.0899999999999995E-2</v>
      </c>
      <c r="F151" s="4">
        <v>0.1691</v>
      </c>
      <c r="G151" s="4">
        <v>0.16889999999999999</v>
      </c>
      <c r="H151" s="4">
        <f>AVERAGE(Data_filter_paper_weights[[#This Row],[Dry_weight_of_sediment+filter_paper_1]:[Dry_weight_of_sediment+filter_paper_2]])</f>
        <v>0.16899999999999998</v>
      </c>
      <c r="I151" s="4">
        <f>Data_filter_paper_weights[[#This Row],[Average_weight_of_sediment+filter_paper]]-Data_filter_paper_weights[[#This Row],[Average_weight]]</f>
        <v>7.8099999999999989E-2</v>
      </c>
    </row>
    <row r="152" spans="1:9" x14ac:dyDescent="0.3">
      <c r="A152" t="s">
        <v>280</v>
      </c>
      <c r="B152" s="4">
        <v>9.0800000000000006E-2</v>
      </c>
      <c r="C152" s="4">
        <v>9.0700000000000003E-2</v>
      </c>
      <c r="D152" s="4">
        <v>9.06E-2</v>
      </c>
      <c r="E152" s="4">
        <f>AVERAGE(Data_filter_paper_weights[[#This Row],[Weight_1]:[Weight_3]])</f>
        <v>9.0700000000000003E-2</v>
      </c>
      <c r="F152" s="4">
        <v>9.2700000000000005E-2</v>
      </c>
      <c r="G152" s="4">
        <v>9.2799999999999994E-2</v>
      </c>
      <c r="H152" s="4">
        <f>AVERAGE(Data_filter_paper_weights[[#This Row],[Dry_weight_of_sediment+filter_paper_1]:[Dry_weight_of_sediment+filter_paper_2]])</f>
        <v>9.2749999999999999E-2</v>
      </c>
      <c r="I152" s="4">
        <f>Data_filter_paper_weights[[#This Row],[Average_weight_of_sediment+filter_paper]]-Data_filter_paper_weights[[#This Row],[Average_weight]]</f>
        <v>2.0499999999999963E-3</v>
      </c>
    </row>
    <row r="153" spans="1:9" x14ac:dyDescent="0.3">
      <c r="A153" t="s">
        <v>281</v>
      </c>
      <c r="B153" s="4">
        <v>8.4099999999999994E-2</v>
      </c>
      <c r="C153" s="4">
        <v>8.3900000000000002E-2</v>
      </c>
      <c r="D153" s="4">
        <v>8.4000000000000005E-2</v>
      </c>
      <c r="E153" s="4">
        <f>AVERAGE(Data_filter_paper_weights[[#This Row],[Weight_1]:[Weight_3]])</f>
        <v>8.4000000000000005E-2</v>
      </c>
      <c r="F153" s="4">
        <v>0.14960000000000001</v>
      </c>
      <c r="G153" s="4">
        <v>0.14960000000000001</v>
      </c>
      <c r="H153" s="4">
        <f>AVERAGE(Data_filter_paper_weights[[#This Row],[Dry_weight_of_sediment+filter_paper_1]:[Dry_weight_of_sediment+filter_paper_2]])</f>
        <v>0.14960000000000001</v>
      </c>
      <c r="I153" s="4">
        <f>Data_filter_paper_weights[[#This Row],[Average_weight_of_sediment+filter_paper]]-Data_filter_paper_weights[[#This Row],[Average_weight]]</f>
        <v>6.5600000000000006E-2</v>
      </c>
    </row>
    <row r="154" spans="1:9" x14ac:dyDescent="0.3">
      <c r="A154" t="s">
        <v>282</v>
      </c>
      <c r="B154" s="4">
        <v>9.0800000000000006E-2</v>
      </c>
      <c r="C154" s="4">
        <v>9.0700000000000003E-2</v>
      </c>
      <c r="D154" s="4">
        <v>9.06E-2</v>
      </c>
      <c r="E154" s="4">
        <f>AVERAGE(Data_filter_paper_weights[[#This Row],[Weight_1]:[Weight_3]])</f>
        <v>9.0700000000000003E-2</v>
      </c>
      <c r="F154" s="4">
        <v>0.16819999999999999</v>
      </c>
      <c r="G154" s="4">
        <v>0.16830000000000001</v>
      </c>
      <c r="H154" s="4">
        <f>AVERAGE(Data_filter_paper_weights[[#This Row],[Dry_weight_of_sediment+filter_paper_1]:[Dry_weight_of_sediment+filter_paper_2]])</f>
        <v>0.16825000000000001</v>
      </c>
      <c r="I154" s="4">
        <f>Data_filter_paper_weights[[#This Row],[Average_weight_of_sediment+filter_paper]]-Data_filter_paper_weights[[#This Row],[Average_weight]]</f>
        <v>7.7550000000000008E-2</v>
      </c>
    </row>
    <row r="155" spans="1:9" x14ac:dyDescent="0.3">
      <c r="A155" t="s">
        <v>283</v>
      </c>
      <c r="B155" s="4">
        <v>9.0800000000000006E-2</v>
      </c>
      <c r="C155" s="4">
        <v>9.0999999999999998E-2</v>
      </c>
      <c r="D155" s="4">
        <v>9.0899999999999995E-2</v>
      </c>
      <c r="E155" s="4">
        <f>AVERAGE(Data_filter_paper_weights[[#This Row],[Weight_1]:[Weight_3]])</f>
        <v>9.0899999999999995E-2</v>
      </c>
      <c r="F155" s="4">
        <v>0.1133</v>
      </c>
      <c r="G155" s="4">
        <v>0.1133</v>
      </c>
      <c r="H155" s="4">
        <f>AVERAGE(Data_filter_paper_weights[[#This Row],[Dry_weight_of_sediment+filter_paper_1]:[Dry_weight_of_sediment+filter_paper_2]])</f>
        <v>0.1133</v>
      </c>
      <c r="I155" s="4">
        <f>Data_filter_paper_weights[[#This Row],[Average_weight_of_sediment+filter_paper]]-Data_filter_paper_weights[[#This Row],[Average_weight]]</f>
        <v>2.2400000000000003E-2</v>
      </c>
    </row>
    <row r="156" spans="1:9" x14ac:dyDescent="0.3">
      <c r="A156" t="s">
        <v>284</v>
      </c>
      <c r="B156" s="4">
        <v>8.4000000000000005E-2</v>
      </c>
      <c r="C156" s="4">
        <v>8.4000000000000005E-2</v>
      </c>
      <c r="D156" s="4">
        <v>8.3900000000000002E-2</v>
      </c>
      <c r="E156" s="4">
        <f>AVERAGE(Data_filter_paper_weights[[#This Row],[Weight_1]:[Weight_3]])</f>
        <v>8.3966666666666676E-2</v>
      </c>
      <c r="F156" s="4">
        <v>0.11020000000000001</v>
      </c>
      <c r="G156" s="4">
        <v>0.1103</v>
      </c>
      <c r="H156" s="4">
        <f>AVERAGE(Data_filter_paper_weights[[#This Row],[Dry_weight_of_sediment+filter_paper_1]:[Dry_weight_of_sediment+filter_paper_2]])</f>
        <v>0.11025</v>
      </c>
      <c r="I156" s="4">
        <f>Data_filter_paper_weights[[#This Row],[Average_weight_of_sediment+filter_paper]]-Data_filter_paper_weights[[#This Row],[Average_weight]]</f>
        <v>2.6283333333333325E-2</v>
      </c>
    </row>
    <row r="157" spans="1:9" x14ac:dyDescent="0.3">
      <c r="A157" t="s">
        <v>285</v>
      </c>
      <c r="B157" s="4">
        <v>8.3400000000000002E-2</v>
      </c>
      <c r="C157" s="4">
        <v>8.3500000000000005E-2</v>
      </c>
      <c r="D157" s="4">
        <v>8.3400000000000002E-2</v>
      </c>
      <c r="E157" s="4">
        <f>AVERAGE(Data_filter_paper_weights[[#This Row],[Weight_1]:[Weight_3]])</f>
        <v>8.3433333333333318E-2</v>
      </c>
      <c r="F157" s="4"/>
      <c r="G157" s="4"/>
      <c r="H157" s="4"/>
      <c r="I157" s="4"/>
    </row>
    <row r="158" spans="1:9" x14ac:dyDescent="0.3">
      <c r="A158" t="s">
        <v>286</v>
      </c>
      <c r="B158" s="4">
        <v>8.8800000000000004E-2</v>
      </c>
      <c r="C158" s="4">
        <v>8.8700000000000001E-2</v>
      </c>
      <c r="D158" s="4">
        <v>8.8499999999999995E-2</v>
      </c>
      <c r="E158" s="4">
        <f>AVERAGE(Data_filter_paper_weights[[#This Row],[Weight_1]:[Weight_3]])</f>
        <v>8.8666666666666671E-2</v>
      </c>
      <c r="F158" s="4">
        <v>0.1764</v>
      </c>
      <c r="G158" s="4">
        <v>0.1762</v>
      </c>
      <c r="H158" s="4">
        <f>AVERAGE(Data_filter_paper_weights[[#This Row],[Dry_weight_of_sediment+filter_paper_1]:[Dry_weight_of_sediment+filter_paper_2]])</f>
        <v>0.17630000000000001</v>
      </c>
      <c r="I158" s="4">
        <f>Data_filter_paper_weights[[#This Row],[Average_weight_of_sediment+filter_paper]]-Data_filter_paper_weights[[#This Row],[Average_weight]]</f>
        <v>8.7633333333333341E-2</v>
      </c>
    </row>
    <row r="159" spans="1:9" x14ac:dyDescent="0.3">
      <c r="A159" t="s">
        <v>287</v>
      </c>
      <c r="B159" s="4">
        <v>8.7499999999999994E-2</v>
      </c>
      <c r="C159" s="4">
        <v>8.7400000000000005E-2</v>
      </c>
      <c r="D159" s="4">
        <v>8.7300000000000003E-2</v>
      </c>
      <c r="E159" s="4">
        <f>AVERAGE(Data_filter_paper_weights[[#This Row],[Weight_1]:[Weight_3]])</f>
        <v>8.7399999999999992E-2</v>
      </c>
      <c r="F159" s="4">
        <v>0.14530000000000001</v>
      </c>
      <c r="G159" s="4">
        <v>0.1452</v>
      </c>
      <c r="H159" s="4">
        <f>AVERAGE(Data_filter_paper_weights[[#This Row],[Dry_weight_of_sediment+filter_paper_1]:[Dry_weight_of_sediment+filter_paper_2]])</f>
        <v>0.14524999999999999</v>
      </c>
      <c r="I159" s="4">
        <f>Data_filter_paper_weights[[#This Row],[Average_weight_of_sediment+filter_paper]]-Data_filter_paper_weights[[#This Row],[Average_weight]]</f>
        <v>5.7849999999999999E-2</v>
      </c>
    </row>
    <row r="160" spans="1:9" x14ac:dyDescent="0.3">
      <c r="A160" t="s">
        <v>288</v>
      </c>
      <c r="B160" s="4">
        <v>9.0800000000000006E-2</v>
      </c>
      <c r="C160" s="4">
        <v>9.0700000000000003E-2</v>
      </c>
      <c r="D160" s="4">
        <v>9.06E-2</v>
      </c>
      <c r="E160" s="4">
        <f>AVERAGE(Data_filter_paper_weights[[#This Row],[Weight_1]:[Weight_3]])</f>
        <v>9.0700000000000003E-2</v>
      </c>
      <c r="F160" s="4">
        <v>9.8000000000000004E-2</v>
      </c>
      <c r="G160" s="4">
        <v>9.7799999999999998E-2</v>
      </c>
      <c r="H160" s="4">
        <f>AVERAGE(Data_filter_paper_weights[[#This Row],[Dry_weight_of_sediment+filter_paper_1]:[Dry_weight_of_sediment+filter_paper_2]])</f>
        <v>9.7900000000000001E-2</v>
      </c>
      <c r="I160" s="4">
        <f>Data_filter_paper_weights[[#This Row],[Average_weight_of_sediment+filter_paper]]-Data_filter_paper_weights[[#This Row],[Average_weight]]</f>
        <v>7.1999999999999981E-3</v>
      </c>
    </row>
    <row r="161" spans="1:9" x14ac:dyDescent="0.3">
      <c r="A161" t="s">
        <v>289</v>
      </c>
      <c r="B161" s="4">
        <v>9.0899999999999995E-2</v>
      </c>
      <c r="C161" s="4">
        <v>9.0800000000000006E-2</v>
      </c>
      <c r="D161" s="4">
        <v>9.0999999999999998E-2</v>
      </c>
      <c r="E161" s="4">
        <f>AVERAGE(Data_filter_paper_weights[[#This Row],[Weight_1]:[Weight_3]])</f>
        <v>9.0899999999999995E-2</v>
      </c>
      <c r="F161" s="4">
        <v>9.7100000000000006E-2</v>
      </c>
      <c r="G161" s="4">
        <v>9.7100000000000006E-2</v>
      </c>
      <c r="H161" s="4">
        <f>AVERAGE(Data_filter_paper_weights[[#This Row],[Dry_weight_of_sediment+filter_paper_1]:[Dry_weight_of_sediment+filter_paper_2]])</f>
        <v>9.7100000000000006E-2</v>
      </c>
      <c r="I161" s="4">
        <f>Data_filter_paper_weights[[#This Row],[Average_weight_of_sediment+filter_paper]]-Data_filter_paper_weights[[#This Row],[Average_weight]]</f>
        <v>6.2000000000000111E-3</v>
      </c>
    </row>
    <row r="162" spans="1:9" x14ac:dyDescent="0.3">
      <c r="A162" t="s">
        <v>290</v>
      </c>
      <c r="B162" s="4">
        <v>8.4000000000000005E-2</v>
      </c>
      <c r="C162" s="4">
        <v>8.3900000000000002E-2</v>
      </c>
      <c r="D162" s="4">
        <v>8.4000000000000005E-2</v>
      </c>
      <c r="E162" s="4">
        <f>AVERAGE(Data_filter_paper_weights[[#This Row],[Weight_1]:[Weight_3]])</f>
        <v>8.3966666666666676E-2</v>
      </c>
      <c r="F162" s="4">
        <v>0.1198</v>
      </c>
      <c r="G162" s="4">
        <v>0.11990000000000001</v>
      </c>
      <c r="H162" s="4">
        <f>AVERAGE(Data_filter_paper_weights[[#This Row],[Dry_weight_of_sediment+filter_paper_1]:[Dry_weight_of_sediment+filter_paper_2]])</f>
        <v>0.11985000000000001</v>
      </c>
      <c r="I162" s="4">
        <f>Data_filter_paper_weights[[#This Row],[Average_weight_of_sediment+filter_paper]]-Data_filter_paper_weights[[#This Row],[Average_weight]]</f>
        <v>3.5883333333333337E-2</v>
      </c>
    </row>
    <row r="163" spans="1:9" x14ac:dyDescent="0.3">
      <c r="A163" t="s">
        <v>291</v>
      </c>
      <c r="B163" s="4">
        <v>8.3699999999999997E-2</v>
      </c>
      <c r="C163" s="4">
        <v>8.3500000000000005E-2</v>
      </c>
      <c r="D163" s="4">
        <v>8.3599999999999994E-2</v>
      </c>
      <c r="E163" s="4">
        <f>AVERAGE(Data_filter_paper_weights[[#This Row],[Weight_1]:[Weight_3]])</f>
        <v>8.3600000000000008E-2</v>
      </c>
      <c r="F163" s="4">
        <v>0.1351</v>
      </c>
      <c r="G163" s="4">
        <v>0.13519999999999999</v>
      </c>
      <c r="H163" s="4">
        <f>AVERAGE(Data_filter_paper_weights[[#This Row],[Dry_weight_of_sediment+filter_paper_1]:[Dry_weight_of_sediment+filter_paper_2]])</f>
        <v>0.13514999999999999</v>
      </c>
      <c r="I163" s="4">
        <f>Data_filter_paper_weights[[#This Row],[Average_weight_of_sediment+filter_paper]]-Data_filter_paper_weights[[#This Row],[Average_weight]]</f>
        <v>5.1549999999999985E-2</v>
      </c>
    </row>
    <row r="164" spans="1:9" x14ac:dyDescent="0.3">
      <c r="A164" t="s">
        <v>292</v>
      </c>
      <c r="B164" s="4">
        <v>8.8400000000000006E-2</v>
      </c>
      <c r="C164" s="4">
        <v>8.8599999999999998E-2</v>
      </c>
      <c r="D164" s="4">
        <v>8.8499999999999995E-2</v>
      </c>
      <c r="E164" s="4">
        <f>AVERAGE(Data_filter_paper_weights[[#This Row],[Weight_1]:[Weight_3]])</f>
        <v>8.8499999999999981E-2</v>
      </c>
      <c r="F164" s="4">
        <v>0.10009999999999999</v>
      </c>
      <c r="G164" s="4">
        <v>0.1002</v>
      </c>
      <c r="H164" s="4">
        <f>AVERAGE(Data_filter_paper_weights[[#This Row],[Dry_weight_of_sediment+filter_paper_1]:[Dry_weight_of_sediment+filter_paper_2]])</f>
        <v>0.10014999999999999</v>
      </c>
      <c r="I164" s="4">
        <f>Data_filter_paper_weights[[#This Row],[Average_weight_of_sediment+filter_paper]]-Data_filter_paper_weights[[#This Row],[Average_weight]]</f>
        <v>1.1650000000000008E-2</v>
      </c>
    </row>
    <row r="165" spans="1:9" x14ac:dyDescent="0.3">
      <c r="A165" t="s">
        <v>293</v>
      </c>
      <c r="B165" s="4">
        <v>8.6800000000000002E-2</v>
      </c>
      <c r="C165" s="4">
        <v>8.6599999999999996E-2</v>
      </c>
      <c r="D165" s="4">
        <v>8.6699999999999999E-2</v>
      </c>
      <c r="E165" s="4">
        <f>AVERAGE(Data_filter_paper_weights[[#This Row],[Weight_1]:[Weight_3]])</f>
        <v>8.6699999999999999E-2</v>
      </c>
      <c r="F165" s="4">
        <v>0.18140000000000001</v>
      </c>
      <c r="G165" s="4">
        <v>0.18129999999999999</v>
      </c>
      <c r="H165" s="4">
        <f>AVERAGE(Data_filter_paper_weights[[#This Row],[Dry_weight_of_sediment+filter_paper_1]:[Dry_weight_of_sediment+filter_paper_2]])</f>
        <v>0.18135000000000001</v>
      </c>
      <c r="I165" s="4">
        <f>Data_filter_paper_weights[[#This Row],[Average_weight_of_sediment+filter_paper]]-Data_filter_paper_weights[[#This Row],[Average_weight]]</f>
        <v>9.4650000000000012E-2</v>
      </c>
    </row>
    <row r="166" spans="1:9" x14ac:dyDescent="0.3">
      <c r="A166" t="s">
        <v>294</v>
      </c>
      <c r="B166" s="4">
        <v>8.4099999999999994E-2</v>
      </c>
      <c r="C166" s="4">
        <v>8.43E-2</v>
      </c>
      <c r="D166" s="4">
        <v>8.4199999999999997E-2</v>
      </c>
      <c r="E166" s="4">
        <f>AVERAGE(Data_filter_paper_weights[[#This Row],[Weight_1]:[Weight_3]])</f>
        <v>8.4199999999999997E-2</v>
      </c>
      <c r="F166" s="4">
        <v>0.12239999999999999</v>
      </c>
      <c r="G166" s="4">
        <v>0.1225</v>
      </c>
      <c r="H166" s="4">
        <f>AVERAGE(Data_filter_paper_weights[[#This Row],[Dry_weight_of_sediment+filter_paper_1]:[Dry_weight_of_sediment+filter_paper_2]])</f>
        <v>0.12245</v>
      </c>
      <c r="I166" s="4">
        <f>Data_filter_paper_weights[[#This Row],[Average_weight_of_sediment+filter_paper]]-Data_filter_paper_weights[[#This Row],[Average_weight]]</f>
        <v>3.8250000000000006E-2</v>
      </c>
    </row>
    <row r="167" spans="1:9" x14ac:dyDescent="0.3">
      <c r="A167" t="s">
        <v>295</v>
      </c>
      <c r="B167" s="4">
        <v>9.0800000000000006E-2</v>
      </c>
      <c r="C167" s="4">
        <v>9.0700000000000003E-2</v>
      </c>
      <c r="D167" s="4">
        <v>9.06E-2</v>
      </c>
      <c r="E167" s="4">
        <f>AVERAGE(Data_filter_paper_weights[[#This Row],[Weight_1]:[Weight_3]])</f>
        <v>9.0700000000000003E-2</v>
      </c>
      <c r="F167" s="4">
        <v>9.8000000000000004E-2</v>
      </c>
      <c r="G167" s="4">
        <v>9.7799999999999998E-2</v>
      </c>
      <c r="H167" s="4">
        <f>AVERAGE(Data_filter_paper_weights[[#This Row],[Dry_weight_of_sediment+filter_paper_1]:[Dry_weight_of_sediment+filter_paper_2]])</f>
        <v>9.7900000000000001E-2</v>
      </c>
      <c r="I167" s="4">
        <f>Data_filter_paper_weights[[#This Row],[Average_weight_of_sediment+filter_paper]]-Data_filter_paper_weights[[#This Row],[Average_weight]]</f>
        <v>7.1999999999999981E-3</v>
      </c>
    </row>
    <row r="168" spans="1:9" x14ac:dyDescent="0.3">
      <c r="A168" t="s">
        <v>296</v>
      </c>
      <c r="B168" s="4">
        <v>9.0899999999999995E-2</v>
      </c>
      <c r="C168" s="4">
        <v>9.0800000000000006E-2</v>
      </c>
      <c r="D168" s="4">
        <v>9.0999999999999998E-2</v>
      </c>
      <c r="E168" s="4">
        <f>AVERAGE(Data_filter_paper_weights[[#This Row],[Weight_1]:[Weight_3]])</f>
        <v>9.0899999999999995E-2</v>
      </c>
      <c r="F168" s="4">
        <v>9.7100000000000006E-2</v>
      </c>
      <c r="G168" s="4">
        <v>9.7100000000000006E-2</v>
      </c>
      <c r="H168" s="4">
        <f>AVERAGE(Data_filter_paper_weights[[#This Row],[Dry_weight_of_sediment+filter_paper_1]:[Dry_weight_of_sediment+filter_paper_2]])</f>
        <v>9.7100000000000006E-2</v>
      </c>
      <c r="I168" s="4">
        <f>Data_filter_paper_weights[[#This Row],[Average_weight_of_sediment+filter_paper]]-Data_filter_paper_weights[[#This Row],[Average_weight]]</f>
        <v>6.2000000000000111E-3</v>
      </c>
    </row>
    <row r="169" spans="1:9" x14ac:dyDescent="0.3">
      <c r="A169" t="s">
        <v>297</v>
      </c>
      <c r="B169" s="4">
        <v>8.3500000000000005E-2</v>
      </c>
      <c r="C169" s="4">
        <v>8.3599999999999994E-2</v>
      </c>
      <c r="D169" s="4">
        <v>8.3699999999999997E-2</v>
      </c>
      <c r="E169" s="4">
        <f>AVERAGE(Data_filter_paper_weights[[#This Row],[Weight_1]:[Weight_3]])</f>
        <v>8.3600000000000008E-2</v>
      </c>
      <c r="F169" s="4">
        <v>0.16120000000000001</v>
      </c>
      <c r="G169" s="4">
        <v>0.1613</v>
      </c>
      <c r="H169" s="4">
        <f>AVERAGE(Data_filter_paper_weights[[#This Row],[Dry_weight_of_sediment+filter_paper_1]:[Dry_weight_of_sediment+filter_paper_2]])</f>
        <v>0.16125</v>
      </c>
      <c r="I169" s="4">
        <f>Data_filter_paper_weights[[#This Row],[Average_weight_of_sediment+filter_paper]]-Data_filter_paper_weights[[#This Row],[Average_weight]]</f>
        <v>7.7649999999999997E-2</v>
      </c>
    </row>
    <row r="170" spans="1:9" x14ac:dyDescent="0.3">
      <c r="A170" t="s">
        <v>298</v>
      </c>
      <c r="B170" s="4">
        <v>8.43E-2</v>
      </c>
      <c r="C170" s="4">
        <v>8.4199999999999997E-2</v>
      </c>
      <c r="D170" s="4">
        <v>8.4099999999999994E-2</v>
      </c>
      <c r="E170" s="4">
        <f>AVERAGE(Data_filter_paper_weights[[#This Row],[Weight_1]:[Weight_3]])</f>
        <v>8.4199999999999997E-2</v>
      </c>
      <c r="F170" s="4">
        <v>0.2049</v>
      </c>
      <c r="G170" s="4">
        <v>0.20499999999999999</v>
      </c>
      <c r="H170" s="4">
        <f>AVERAGE(Data_filter_paper_weights[[#This Row],[Dry_weight_of_sediment+filter_paper_1]:[Dry_weight_of_sediment+filter_paper_2]])</f>
        <v>0.20494999999999999</v>
      </c>
      <c r="I170" s="4">
        <f>Data_filter_paper_weights[[#This Row],[Average_weight_of_sediment+filter_paper]]-Data_filter_paper_weights[[#This Row],[Average_weight]]</f>
        <v>0.12075</v>
      </c>
    </row>
    <row r="171" spans="1:9" x14ac:dyDescent="0.3">
      <c r="A171" t="s">
        <v>299</v>
      </c>
      <c r="B171" s="4">
        <v>8.4199999999999997E-2</v>
      </c>
      <c r="C171" s="4">
        <v>8.43E-2</v>
      </c>
      <c r="D171" s="4">
        <v>8.4199999999999997E-2</v>
      </c>
      <c r="E171" s="4">
        <f>AVERAGE(Data_filter_paper_weights[[#This Row],[Weight_1]:[Weight_3]])</f>
        <v>8.4233333333333327E-2</v>
      </c>
      <c r="F171" s="4">
        <v>0.85540000000000005</v>
      </c>
      <c r="G171" s="4">
        <v>0.85540000000000005</v>
      </c>
      <c r="H171" s="4">
        <f>AVERAGE(Data_filter_paper_weights[[#This Row],[Dry_weight_of_sediment+filter_paper_1]:[Dry_weight_of_sediment+filter_paper_2]])</f>
        <v>0.85540000000000005</v>
      </c>
      <c r="I171" s="4">
        <f>Data_filter_paper_weights[[#This Row],[Average_weight_of_sediment+filter_paper]]-Data_filter_paper_weights[[#This Row],[Average_weight]]</f>
        <v>0.77116666666666678</v>
      </c>
    </row>
    <row r="172" spans="1:9" x14ac:dyDescent="0.3">
      <c r="A172" t="s">
        <v>300</v>
      </c>
      <c r="B172" s="4">
        <v>8.4099999999999994E-2</v>
      </c>
      <c r="C172" s="4">
        <v>8.3900000000000002E-2</v>
      </c>
      <c r="D172" s="4">
        <v>8.4000000000000005E-2</v>
      </c>
      <c r="E172" s="4">
        <f>AVERAGE(Data_filter_paper_weights[[#This Row],[Weight_1]:[Weight_3]])</f>
        <v>8.4000000000000005E-2</v>
      </c>
      <c r="F172" s="4">
        <v>0.12790000000000001</v>
      </c>
      <c r="G172" s="4">
        <v>0.12790000000000001</v>
      </c>
      <c r="H172" s="4">
        <f>AVERAGE(Data_filter_paper_weights[[#This Row],[Dry_weight_of_sediment+filter_paper_1]:[Dry_weight_of_sediment+filter_paper_2]])</f>
        <v>0.12790000000000001</v>
      </c>
      <c r="I172" s="4">
        <f>Data_filter_paper_weights[[#This Row],[Average_weight_of_sediment+filter_paper]]-Data_filter_paper_weights[[#This Row],[Average_weight]]</f>
        <v>4.3900000000000008E-2</v>
      </c>
    </row>
    <row r="173" spans="1:9" x14ac:dyDescent="0.3">
      <c r="A173" t="s">
        <v>301</v>
      </c>
      <c r="B173" s="4">
        <v>8.77E-2</v>
      </c>
      <c r="C173" s="4">
        <v>8.7599999999999997E-2</v>
      </c>
      <c r="D173" s="4">
        <v>8.7400000000000005E-2</v>
      </c>
      <c r="E173" s="4">
        <f>AVERAGE(Data_filter_paper_weights[[#This Row],[Weight_1]:[Weight_3]])</f>
        <v>8.7566666666666682E-2</v>
      </c>
      <c r="F173" s="4">
        <v>0.1474</v>
      </c>
      <c r="G173" s="4">
        <v>0.1474</v>
      </c>
      <c r="H173" s="4">
        <f>AVERAGE(Data_filter_paper_weights[[#This Row],[Dry_weight_of_sediment+filter_paper_1]:[Dry_weight_of_sediment+filter_paper_2]])</f>
        <v>0.1474</v>
      </c>
      <c r="I173" s="4">
        <f>Data_filter_paper_weights[[#This Row],[Average_weight_of_sediment+filter_paper]]-Data_filter_paper_weights[[#This Row],[Average_weight]]</f>
        <v>5.9833333333333322E-2</v>
      </c>
    </row>
    <row r="174" spans="1:9" x14ac:dyDescent="0.3">
      <c r="A174" t="s">
        <v>302</v>
      </c>
      <c r="B174" s="4">
        <v>8.7499999999999994E-2</v>
      </c>
      <c r="C174" s="4">
        <v>8.7400000000000005E-2</v>
      </c>
      <c r="D174" s="4">
        <v>8.7300000000000003E-2</v>
      </c>
      <c r="E174" s="4">
        <f>AVERAGE(Data_filter_paper_weights[[#This Row],[Weight_1]:[Weight_3]])</f>
        <v>8.7399999999999992E-2</v>
      </c>
      <c r="F174" s="4">
        <v>0.1313</v>
      </c>
      <c r="G174" s="4">
        <v>0.1313</v>
      </c>
      <c r="H174" s="4">
        <f>AVERAGE(Data_filter_paper_weights[[#This Row],[Dry_weight_of_sediment+filter_paper_1]:[Dry_weight_of_sediment+filter_paper_2]])</f>
        <v>0.1313</v>
      </c>
      <c r="I174" s="4">
        <f>Data_filter_paper_weights[[#This Row],[Average_weight_of_sediment+filter_paper]]-Data_filter_paper_weights[[#This Row],[Average_weight]]</f>
        <v>4.3900000000000008E-2</v>
      </c>
    </row>
    <row r="175" spans="1:9" x14ac:dyDescent="0.3">
      <c r="A175" t="s">
        <v>303</v>
      </c>
      <c r="B175" s="4">
        <v>9.0899999999999995E-2</v>
      </c>
      <c r="C175" s="4">
        <v>9.0800000000000006E-2</v>
      </c>
      <c r="D175" s="4">
        <v>9.0999999999999998E-2</v>
      </c>
      <c r="E175" s="4">
        <f>AVERAGE(Data_filter_paper_weights[[#This Row],[Weight_1]:[Weight_3]])</f>
        <v>9.0899999999999995E-2</v>
      </c>
      <c r="F175" s="4">
        <v>0.1691</v>
      </c>
      <c r="G175" s="4">
        <v>0.16889999999999999</v>
      </c>
      <c r="H175" s="4">
        <f>AVERAGE(Data_filter_paper_weights[[#This Row],[Dry_weight_of_sediment+filter_paper_1]:[Dry_weight_of_sediment+filter_paper_2]])</f>
        <v>0.16899999999999998</v>
      </c>
      <c r="I175" s="4">
        <f>Data_filter_paper_weights[[#This Row],[Average_weight_of_sediment+filter_paper]]-Data_filter_paper_weights[[#This Row],[Average_weight]]</f>
        <v>7.8099999999999989E-2</v>
      </c>
    </row>
    <row r="176" spans="1:9" x14ac:dyDescent="0.3">
      <c r="A176" t="s">
        <v>304</v>
      </c>
      <c r="B176" s="4">
        <v>9.0800000000000006E-2</v>
      </c>
      <c r="C176" s="4">
        <v>9.0700000000000003E-2</v>
      </c>
      <c r="D176" s="4">
        <v>9.06E-2</v>
      </c>
      <c r="E176" s="4">
        <f>AVERAGE(Data_filter_paper_weights[[#This Row],[Weight_1]:[Weight_3]])</f>
        <v>9.0700000000000003E-2</v>
      </c>
      <c r="F176" s="4">
        <v>9.2700000000000005E-2</v>
      </c>
      <c r="G176" s="4">
        <v>9.2799999999999994E-2</v>
      </c>
      <c r="H176" s="4">
        <f>AVERAGE(Data_filter_paper_weights[[#This Row],[Dry_weight_of_sediment+filter_paper_1]:[Dry_weight_of_sediment+filter_paper_2]])</f>
        <v>9.2749999999999999E-2</v>
      </c>
      <c r="I176" s="4">
        <f>Data_filter_paper_weights[[#This Row],[Average_weight_of_sediment+filter_paper]]-Data_filter_paper_weights[[#This Row],[Average_weight]]</f>
        <v>2.0499999999999963E-3</v>
      </c>
    </row>
    <row r="177" spans="1:9" x14ac:dyDescent="0.3">
      <c r="A177" t="s">
        <v>305</v>
      </c>
      <c r="B177" s="4">
        <v>8.4099999999999994E-2</v>
      </c>
      <c r="C177" s="4">
        <v>8.3900000000000002E-2</v>
      </c>
      <c r="D177" s="4">
        <v>8.4000000000000005E-2</v>
      </c>
      <c r="E177" s="4">
        <f>AVERAGE(Data_filter_paper_weights[[#This Row],[Weight_1]:[Weight_3]])</f>
        <v>8.4000000000000005E-2</v>
      </c>
      <c r="F177" s="4">
        <v>0.14960000000000001</v>
      </c>
      <c r="G177" s="4">
        <v>0.14960000000000001</v>
      </c>
      <c r="H177" s="4">
        <f>AVERAGE(Data_filter_paper_weights[[#This Row],[Dry_weight_of_sediment+filter_paper_1]:[Dry_weight_of_sediment+filter_paper_2]])</f>
        <v>0.14960000000000001</v>
      </c>
      <c r="I177" s="4">
        <f>Data_filter_paper_weights[[#This Row],[Average_weight_of_sediment+filter_paper]]-Data_filter_paper_weights[[#This Row],[Average_weight]]</f>
        <v>6.5600000000000006E-2</v>
      </c>
    </row>
    <row r="178" spans="1:9" x14ac:dyDescent="0.3">
      <c r="A178" t="s">
        <v>306</v>
      </c>
      <c r="B178" s="4">
        <v>8.77E-2</v>
      </c>
      <c r="C178" s="4">
        <v>8.7599999999999997E-2</v>
      </c>
      <c r="D178" s="4">
        <v>8.7400000000000005E-2</v>
      </c>
      <c r="E178" s="4">
        <f>AVERAGE(Data_filter_paper_weights[[#This Row],[Weight_1]:[Weight_3]])</f>
        <v>8.7566666666666682E-2</v>
      </c>
      <c r="F178" s="4">
        <v>0.13059999999999999</v>
      </c>
      <c r="G178" s="4">
        <v>0.1305</v>
      </c>
      <c r="H178" s="4">
        <f>AVERAGE(Data_filter_paper_weights[[#This Row],[Dry_weight_of_sediment+filter_paper_1]:[Dry_weight_of_sediment+filter_paper_2]])</f>
        <v>0.13055</v>
      </c>
      <c r="I178" s="4">
        <f>Data_filter_paper_weights[[#This Row],[Average_weight_of_sediment+filter_paper]]-Data_filter_paper_weights[[#This Row],[Average_weight]]</f>
        <v>4.2983333333333318E-2</v>
      </c>
    </row>
    <row r="179" spans="1:9" x14ac:dyDescent="0.3">
      <c r="A179" t="s">
        <v>307</v>
      </c>
      <c r="B179" s="4">
        <v>9.0899999999999995E-2</v>
      </c>
      <c r="C179" s="4">
        <v>9.0800000000000006E-2</v>
      </c>
      <c r="D179" s="4">
        <v>9.0999999999999998E-2</v>
      </c>
      <c r="E179" s="4">
        <f>AVERAGE(Data_filter_paper_weights[[#This Row],[Weight_1]:[Weight_3]])</f>
        <v>9.0899999999999995E-2</v>
      </c>
      <c r="F179" s="4">
        <v>0.13869999999999999</v>
      </c>
      <c r="G179" s="4">
        <v>0.13869999999999999</v>
      </c>
      <c r="H179" s="4">
        <f>AVERAGE(Data_filter_paper_weights[[#This Row],[Dry_weight_of_sediment+filter_paper_1]:[Dry_weight_of_sediment+filter_paper_2]])</f>
        <v>0.13869999999999999</v>
      </c>
      <c r="I179" s="4">
        <f>Data_filter_paper_weights[[#This Row],[Average_weight_of_sediment+filter_paper]]-Data_filter_paper_weights[[#This Row],[Average_weight]]</f>
        <v>4.7799999999999995E-2</v>
      </c>
    </row>
    <row r="180" spans="1:9" x14ac:dyDescent="0.3">
      <c r="A180" t="s">
        <v>308</v>
      </c>
      <c r="B180" s="4">
        <v>8.3900000000000002E-2</v>
      </c>
      <c r="C180" s="4">
        <v>8.4000000000000005E-2</v>
      </c>
      <c r="D180" s="4">
        <v>8.4000000000000005E-2</v>
      </c>
      <c r="E180" s="4">
        <f>AVERAGE(Data_filter_paper_weights[[#This Row],[Weight_1]:[Weight_3]])</f>
        <v>8.3966666666666676E-2</v>
      </c>
      <c r="F180" s="4">
        <v>0.1938</v>
      </c>
      <c r="G180" s="4">
        <v>0.1938</v>
      </c>
      <c r="H180" s="4">
        <f>AVERAGE(Data_filter_paper_weights[[#This Row],[Dry_weight_of_sediment+filter_paper_1]:[Dry_weight_of_sediment+filter_paper_2]])</f>
        <v>0.1938</v>
      </c>
      <c r="I180" s="4">
        <f>Data_filter_paper_weights[[#This Row],[Average_weight_of_sediment+filter_paper]]-Data_filter_paper_weights[[#This Row],[Average_weight]]</f>
        <v>0.10983333333333332</v>
      </c>
    </row>
    <row r="181" spans="1:9" x14ac:dyDescent="0.3">
      <c r="A181" t="s">
        <v>309</v>
      </c>
      <c r="B181" s="4">
        <v>8.3500000000000005E-2</v>
      </c>
      <c r="C181" s="4">
        <v>8.3599999999999994E-2</v>
      </c>
      <c r="D181" s="4">
        <v>8.3699999999999997E-2</v>
      </c>
      <c r="E181" s="4">
        <f>AVERAGE(Data_filter_paper_weights[[#This Row],[Weight_1]:[Weight_3]])</f>
        <v>8.3600000000000008E-2</v>
      </c>
      <c r="F181" s="4">
        <v>0.20039999999999999</v>
      </c>
      <c r="G181" s="4">
        <v>0.20039999999999999</v>
      </c>
      <c r="H181" s="4">
        <f>AVERAGE(Data_filter_paper_weights[[#This Row],[Dry_weight_of_sediment+filter_paper_1]:[Dry_weight_of_sediment+filter_paper_2]])</f>
        <v>0.20039999999999999</v>
      </c>
      <c r="I181" s="4">
        <f>Data_filter_paper_weights[[#This Row],[Average_weight_of_sediment+filter_paper]]-Data_filter_paper_weights[[#This Row],[Average_weight]]</f>
        <v>0.11679999999999999</v>
      </c>
    </row>
    <row r="182" spans="1:9" x14ac:dyDescent="0.3">
      <c r="A182" t="s">
        <v>310</v>
      </c>
      <c r="B182" s="4">
        <v>8.8599999999999998E-2</v>
      </c>
      <c r="C182" s="4">
        <v>8.8499999999999995E-2</v>
      </c>
      <c r="D182" s="4">
        <v>8.8400000000000006E-2</v>
      </c>
      <c r="E182" s="4">
        <f>AVERAGE(Data_filter_paper_weights[[#This Row],[Weight_1]:[Weight_3]])</f>
        <v>8.8499999999999981E-2</v>
      </c>
      <c r="F182" s="4">
        <v>0.14419999999999999</v>
      </c>
      <c r="G182" s="4">
        <v>0.14419999999999999</v>
      </c>
      <c r="H182" s="4">
        <f>AVERAGE(Data_filter_paper_weights[[#This Row],[Dry_weight_of_sediment+filter_paper_1]:[Dry_weight_of_sediment+filter_paper_2]])</f>
        <v>0.14419999999999999</v>
      </c>
      <c r="I182" s="4">
        <f>Data_filter_paper_weights[[#This Row],[Average_weight_of_sediment+filter_paper]]-Data_filter_paper_weights[[#This Row],[Average_weight]]</f>
        <v>5.5700000000000013E-2</v>
      </c>
    </row>
    <row r="183" spans="1:9" x14ac:dyDescent="0.3">
      <c r="A183" t="s">
        <v>311</v>
      </c>
      <c r="B183" s="4">
        <v>8.6599999999999996E-2</v>
      </c>
      <c r="C183" s="4">
        <v>8.6699999999999999E-2</v>
      </c>
      <c r="D183" s="4">
        <v>8.6800000000000002E-2</v>
      </c>
      <c r="E183" s="4">
        <f>AVERAGE(Data_filter_paper_weights[[#This Row],[Weight_1]:[Weight_3]])</f>
        <v>8.6699999999999999E-2</v>
      </c>
      <c r="F183" s="4">
        <v>0.15190000000000001</v>
      </c>
      <c r="G183" s="4">
        <v>0.152</v>
      </c>
      <c r="H183" s="4">
        <f>AVERAGE(Data_filter_paper_weights[[#This Row],[Dry_weight_of_sediment+filter_paper_1]:[Dry_weight_of_sediment+filter_paper_2]])</f>
        <v>0.15195</v>
      </c>
      <c r="I183" s="4">
        <f>Data_filter_paper_weights[[#This Row],[Average_weight_of_sediment+filter_paper]]-Data_filter_paper_weights[[#This Row],[Average_weight]]</f>
        <v>6.5250000000000002E-2</v>
      </c>
    </row>
    <row r="184" spans="1:9" x14ac:dyDescent="0.3">
      <c r="A184" t="s">
        <v>312</v>
      </c>
      <c r="B184" s="4">
        <v>8.8800000000000004E-2</v>
      </c>
      <c r="C184" s="4">
        <v>8.8700000000000001E-2</v>
      </c>
      <c r="D184" s="4">
        <v>8.8499999999999995E-2</v>
      </c>
      <c r="E184" s="4">
        <f>AVERAGE(Data_filter_paper_weights[[#This Row],[Weight_1]:[Weight_3]])</f>
        <v>8.8666666666666671E-2</v>
      </c>
      <c r="F184" s="4">
        <v>0.16389999999999999</v>
      </c>
      <c r="G184" s="4">
        <v>0.16400000000000001</v>
      </c>
      <c r="H184" s="4">
        <f>AVERAGE(Data_filter_paper_weights[[#This Row],[Dry_weight_of_sediment+filter_paper_1]:[Dry_weight_of_sediment+filter_paper_2]])</f>
        <v>0.16394999999999998</v>
      </c>
      <c r="I184" s="4">
        <f>Data_filter_paper_weights[[#This Row],[Average_weight_of_sediment+filter_paper]]-Data_filter_paper_weights[[#This Row],[Average_weight]]</f>
        <v>7.5283333333333313E-2</v>
      </c>
    </row>
    <row r="185" spans="1:9" x14ac:dyDescent="0.3">
      <c r="A185" t="s">
        <v>313</v>
      </c>
      <c r="B185" s="4">
        <v>8.7499999999999994E-2</v>
      </c>
      <c r="C185" s="4">
        <v>8.7400000000000005E-2</v>
      </c>
      <c r="D185" s="4">
        <v>8.7300000000000003E-2</v>
      </c>
      <c r="E185" s="4">
        <f>AVERAGE(Data_filter_paper_weights[[#This Row],[Weight_1]:[Weight_3]])</f>
        <v>8.7399999999999992E-2</v>
      </c>
      <c r="F185" s="4">
        <v>0.1439</v>
      </c>
      <c r="G185" s="4">
        <v>0.14410000000000001</v>
      </c>
      <c r="H185" s="4">
        <f>AVERAGE(Data_filter_paper_weights[[#This Row],[Dry_weight_of_sediment+filter_paper_1]:[Dry_weight_of_sediment+filter_paper_2]])</f>
        <v>0.14400000000000002</v>
      </c>
      <c r="I185" s="4">
        <f>Data_filter_paper_weights[[#This Row],[Average_weight_of_sediment+filter_paper]]-Data_filter_paper_weights[[#This Row],[Average_weight]]</f>
        <v>5.6600000000000025E-2</v>
      </c>
    </row>
    <row r="186" spans="1:9" x14ac:dyDescent="0.3">
      <c r="A186" t="s">
        <v>314</v>
      </c>
      <c r="B186" s="4">
        <v>8.3500000000000005E-2</v>
      </c>
      <c r="C186" s="4">
        <v>8.3599999999999994E-2</v>
      </c>
      <c r="D186" s="4">
        <v>8.3699999999999997E-2</v>
      </c>
      <c r="E186" s="4">
        <f>AVERAGE(Data_filter_paper_weights[[#This Row],[Weight_1]:[Weight_3]])</f>
        <v>8.3600000000000008E-2</v>
      </c>
      <c r="F186" s="4">
        <v>0.13589999999999999</v>
      </c>
      <c r="G186" s="4">
        <v>0.13600000000000001</v>
      </c>
      <c r="H186" s="4">
        <f>AVERAGE(Data_filter_paper_weights[[#This Row],[Dry_weight_of_sediment+filter_paper_1]:[Dry_weight_of_sediment+filter_paper_2]])</f>
        <v>0.13595000000000002</v>
      </c>
      <c r="I186" s="4">
        <f>Data_filter_paper_weights[[#This Row],[Average_weight_of_sediment+filter_paper]]-Data_filter_paper_weights[[#This Row],[Average_weight]]</f>
        <v>5.2350000000000008E-2</v>
      </c>
    </row>
    <row r="187" spans="1:9" x14ac:dyDescent="0.3">
      <c r="A187" t="s">
        <v>315</v>
      </c>
      <c r="B187" s="4">
        <v>8.4500000000000006E-2</v>
      </c>
      <c r="C187" s="4">
        <v>8.4500000000000006E-2</v>
      </c>
      <c r="D187" s="4">
        <v>8.4500000000000006E-2</v>
      </c>
      <c r="E187" s="4">
        <f>AVERAGE(Data_filter_paper_weights[[#This Row],[Weight_1]:[Weight_3]])</f>
        <v>8.4500000000000006E-2</v>
      </c>
      <c r="F187" s="4">
        <v>0.1338</v>
      </c>
      <c r="G187" s="4">
        <v>0.13370000000000001</v>
      </c>
      <c r="H187" s="4">
        <f>AVERAGE(Data_filter_paper_weights[[#This Row],[Dry_weight_of_sediment+filter_paper_1]:[Dry_weight_of_sediment+filter_paper_2]])</f>
        <v>0.13375000000000001</v>
      </c>
      <c r="I187" s="4">
        <f>Data_filter_paper_weights[[#This Row],[Average_weight_of_sediment+filter_paper]]-Data_filter_paper_weights[[#This Row],[Average_weight]]</f>
        <v>4.9250000000000002E-2</v>
      </c>
    </row>
    <row r="188" spans="1:9" x14ac:dyDescent="0.3">
      <c r="A188" t="s">
        <v>316</v>
      </c>
      <c r="B188" s="4">
        <v>9.0800000000000006E-2</v>
      </c>
      <c r="C188" s="4">
        <v>9.0700000000000003E-2</v>
      </c>
      <c r="D188" s="4">
        <v>9.06E-2</v>
      </c>
      <c r="E188" s="4">
        <f>AVERAGE(Data_filter_paper_weights[[#This Row],[Weight_1]:[Weight_3]])</f>
        <v>9.0700000000000003E-2</v>
      </c>
      <c r="F188" s="4">
        <v>0.1268</v>
      </c>
      <c r="G188" s="4">
        <v>0.1268</v>
      </c>
      <c r="H188" s="4">
        <f>AVERAGE(Data_filter_paper_weights[[#This Row],[Dry_weight_of_sediment+filter_paper_1]:[Dry_weight_of_sediment+filter_paper_2]])</f>
        <v>0.1268</v>
      </c>
      <c r="I188" s="4">
        <f>Data_filter_paper_weights[[#This Row],[Average_weight_of_sediment+filter_paper]]-Data_filter_paper_weights[[#This Row],[Average_weight]]</f>
        <v>3.6099999999999993E-2</v>
      </c>
    </row>
    <row r="189" spans="1:9" x14ac:dyDescent="0.3">
      <c r="A189" t="s">
        <v>317</v>
      </c>
      <c r="B189" s="4">
        <v>9.0800000000000006E-2</v>
      </c>
      <c r="C189" s="4">
        <v>9.0999999999999998E-2</v>
      </c>
      <c r="D189" s="4">
        <v>9.0899999999999995E-2</v>
      </c>
      <c r="E189" s="4">
        <f>AVERAGE(Data_filter_paper_weights[[#This Row],[Weight_1]:[Weight_3]])</f>
        <v>9.0899999999999995E-2</v>
      </c>
      <c r="F189" s="4">
        <v>0.14099999999999999</v>
      </c>
      <c r="G189" s="4">
        <v>0.1411</v>
      </c>
      <c r="H189" s="4">
        <f>AVERAGE(Data_filter_paper_weights[[#This Row],[Dry_weight_of_sediment+filter_paper_1]:[Dry_weight_of_sediment+filter_paper_2]])</f>
        <v>0.14105000000000001</v>
      </c>
      <c r="I189" s="4">
        <f>Data_filter_paper_weights[[#This Row],[Average_weight_of_sediment+filter_paper]]-Data_filter_paper_weights[[#This Row],[Average_weight]]</f>
        <v>5.0150000000000014E-2</v>
      </c>
    </row>
    <row r="190" spans="1:9" x14ac:dyDescent="0.3">
      <c r="A190" t="s">
        <v>318</v>
      </c>
      <c r="B190" s="4">
        <v>8.4000000000000005E-2</v>
      </c>
      <c r="C190" s="4">
        <v>8.4000000000000005E-2</v>
      </c>
      <c r="D190" s="4">
        <v>8.3900000000000002E-2</v>
      </c>
      <c r="E190" s="4">
        <f>AVERAGE(Data_filter_paper_weights[[#This Row],[Weight_1]:[Weight_3]])</f>
        <v>8.3966666666666676E-2</v>
      </c>
      <c r="F190" s="4">
        <v>0.1663</v>
      </c>
      <c r="G190" s="4">
        <v>0.16639999999999999</v>
      </c>
      <c r="H190" s="4">
        <f>AVERAGE(Data_filter_paper_weights[[#This Row],[Dry_weight_of_sediment+filter_paper_1]:[Dry_weight_of_sediment+filter_paper_2]])</f>
        <v>0.16635</v>
      </c>
      <c r="I190" s="4">
        <f>Data_filter_paper_weights[[#This Row],[Average_weight_of_sediment+filter_paper]]-Data_filter_paper_weights[[#This Row],[Average_weight]]</f>
        <v>8.2383333333333322E-2</v>
      </c>
    </row>
    <row r="191" spans="1:9" x14ac:dyDescent="0.3">
      <c r="A191" t="s">
        <v>319</v>
      </c>
      <c r="B191" s="4">
        <v>8.3400000000000002E-2</v>
      </c>
      <c r="C191" s="4">
        <v>8.3500000000000005E-2</v>
      </c>
      <c r="D191" s="4">
        <v>8.3400000000000002E-2</v>
      </c>
      <c r="E191" s="4">
        <f>AVERAGE(Data_filter_paper_weights[[#This Row],[Weight_1]:[Weight_3]])</f>
        <v>8.3433333333333318E-2</v>
      </c>
      <c r="F191" s="4">
        <v>0.1061</v>
      </c>
      <c r="G191" s="4">
        <v>0.1062</v>
      </c>
      <c r="H191" s="4">
        <f>AVERAGE(Data_filter_paper_weights[[#This Row],[Dry_weight_of_sediment+filter_paper_1]:[Dry_weight_of_sediment+filter_paper_2]])</f>
        <v>0.10614999999999999</v>
      </c>
      <c r="I191" s="4">
        <f>Data_filter_paper_weights[[#This Row],[Average_weight_of_sediment+filter_paper]]-Data_filter_paper_weights[[#This Row],[Average_weight]]</f>
        <v>2.2716666666666677E-2</v>
      </c>
    </row>
    <row r="192" spans="1:9" x14ac:dyDescent="0.3">
      <c r="A192" t="s">
        <v>320</v>
      </c>
      <c r="B192" s="4">
        <v>8.3500000000000005E-2</v>
      </c>
      <c r="C192" s="4">
        <v>8.3599999999999994E-2</v>
      </c>
      <c r="D192" s="4">
        <v>8.3699999999999997E-2</v>
      </c>
      <c r="E192" s="4">
        <f>AVERAGE(Data_filter_paper_weights[[#This Row],[Weight_1]:[Weight_3]])</f>
        <v>8.3600000000000008E-2</v>
      </c>
      <c r="F192" s="4">
        <v>0.16120000000000001</v>
      </c>
      <c r="G192" s="4">
        <v>0.1613</v>
      </c>
      <c r="H192" s="4">
        <f>AVERAGE(Data_filter_paper_weights[[#This Row],[Dry_weight_of_sediment+filter_paper_1]:[Dry_weight_of_sediment+filter_paper_2]])</f>
        <v>0.16125</v>
      </c>
      <c r="I192" s="4">
        <f>Data_filter_paper_weights[[#This Row],[Average_weight_of_sediment+filter_paper]]-Data_filter_paper_weights[[#This Row],[Average_weight]]</f>
        <v>7.7649999999999997E-2</v>
      </c>
    </row>
    <row r="193" spans="1:9" x14ac:dyDescent="0.3">
      <c r="A193" t="s">
        <v>321</v>
      </c>
      <c r="B193" s="4">
        <v>8.43E-2</v>
      </c>
      <c r="C193" s="4">
        <v>8.4199999999999997E-2</v>
      </c>
      <c r="D193" s="4">
        <v>8.4099999999999994E-2</v>
      </c>
      <c r="E193" s="4">
        <f>AVERAGE(Data_filter_paper_weights[[#This Row],[Weight_1]:[Weight_3]])</f>
        <v>8.4199999999999997E-2</v>
      </c>
      <c r="F193" s="4">
        <v>0.2049</v>
      </c>
      <c r="G193" s="4">
        <v>0.20499999999999999</v>
      </c>
      <c r="H193" s="4">
        <f>AVERAGE(Data_filter_paper_weights[[#This Row],[Dry_weight_of_sediment+filter_paper_1]:[Dry_weight_of_sediment+filter_paper_2]])</f>
        <v>0.20494999999999999</v>
      </c>
      <c r="I193" s="4">
        <f>Data_filter_paper_weights[[#This Row],[Average_weight_of_sediment+filter_paper]]-Data_filter_paper_weights[[#This Row],[Average_weight]]</f>
        <v>0.12075</v>
      </c>
    </row>
    <row r="194" spans="1:9" x14ac:dyDescent="0.3">
      <c r="A194" t="s">
        <v>322</v>
      </c>
      <c r="B194" s="4">
        <v>8.4199999999999997E-2</v>
      </c>
      <c r="C194" s="4">
        <v>8.43E-2</v>
      </c>
      <c r="D194" s="4">
        <v>8.4199999999999997E-2</v>
      </c>
      <c r="E194" s="4">
        <f>AVERAGE(Data_filter_paper_weights[[#This Row],[Weight_1]:[Weight_3]])</f>
        <v>8.4233333333333327E-2</v>
      </c>
      <c r="F194" s="4">
        <v>0.85540000000000005</v>
      </c>
      <c r="G194" s="4">
        <v>0.85540000000000005</v>
      </c>
      <c r="H194" s="4">
        <f>AVERAGE(Data_filter_paper_weights[[#This Row],[Dry_weight_of_sediment+filter_paper_1]:[Dry_weight_of_sediment+filter_paper_2]])</f>
        <v>0.85540000000000005</v>
      </c>
      <c r="I194" s="4">
        <f>Data_filter_paper_weights[[#This Row],[Average_weight_of_sediment+filter_paper]]-Data_filter_paper_weights[[#This Row],[Average_weight]]</f>
        <v>0.77116666666666678</v>
      </c>
    </row>
    <row r="195" spans="1:9" x14ac:dyDescent="0.3">
      <c r="A195" t="s">
        <v>323</v>
      </c>
      <c r="B195" s="4">
        <v>8.4099999999999994E-2</v>
      </c>
      <c r="C195" s="4">
        <v>8.3900000000000002E-2</v>
      </c>
      <c r="D195" s="4">
        <v>8.4000000000000005E-2</v>
      </c>
      <c r="E195" s="4">
        <f>AVERAGE(Data_filter_paper_weights[[#This Row],[Weight_1]:[Weight_3]])</f>
        <v>8.4000000000000005E-2</v>
      </c>
      <c r="F195" s="4">
        <v>0.12790000000000001</v>
      </c>
      <c r="G195" s="4">
        <v>0.12790000000000001</v>
      </c>
      <c r="H195" s="4">
        <f>AVERAGE(Data_filter_paper_weights[[#This Row],[Dry_weight_of_sediment+filter_paper_1]:[Dry_weight_of_sediment+filter_paper_2]])</f>
        <v>0.12790000000000001</v>
      </c>
      <c r="I195" s="4">
        <f>Data_filter_paper_weights[[#This Row],[Average_weight_of_sediment+filter_paper]]-Data_filter_paper_weights[[#This Row],[Average_weight]]</f>
        <v>4.3900000000000008E-2</v>
      </c>
    </row>
    <row r="196" spans="1:9" x14ac:dyDescent="0.3">
      <c r="A196" t="s">
        <v>324</v>
      </c>
      <c r="B196" s="4">
        <v>8.77E-2</v>
      </c>
      <c r="C196" s="4">
        <v>8.7599999999999997E-2</v>
      </c>
      <c r="D196" s="4">
        <v>8.7400000000000005E-2</v>
      </c>
      <c r="E196" s="4">
        <f>AVERAGE(Data_filter_paper_weights[[#This Row],[Weight_1]:[Weight_3]])</f>
        <v>8.7566666666666682E-2</v>
      </c>
      <c r="F196" s="4"/>
      <c r="G196" s="4"/>
      <c r="H196" s="4"/>
      <c r="I196" s="4"/>
    </row>
    <row r="197" spans="1:9" x14ac:dyDescent="0.3">
      <c r="A197" t="s">
        <v>325</v>
      </c>
      <c r="B197" s="4">
        <v>8.7499999999999994E-2</v>
      </c>
      <c r="C197" s="4">
        <v>8.7400000000000005E-2</v>
      </c>
      <c r="D197" s="4">
        <v>8.7300000000000003E-2</v>
      </c>
      <c r="E197" s="4">
        <f>AVERAGE(Data_filter_paper_weights[[#This Row],[Weight_1]:[Weight_3]])</f>
        <v>8.7399999999999992E-2</v>
      </c>
      <c r="F197" s="4">
        <v>0.1313</v>
      </c>
      <c r="G197" s="4">
        <v>0.1313</v>
      </c>
      <c r="H197" s="4">
        <f>AVERAGE(Data_filter_paper_weights[[#This Row],[Dry_weight_of_sediment+filter_paper_1]:[Dry_weight_of_sediment+filter_paper_2]])</f>
        <v>0.1313</v>
      </c>
      <c r="I197" s="4">
        <f>Data_filter_paper_weights[[#This Row],[Average_weight_of_sediment+filter_paper]]-Data_filter_paper_weights[[#This Row],[Average_weight]]</f>
        <v>4.3900000000000008E-2</v>
      </c>
    </row>
    <row r="198" spans="1:9" x14ac:dyDescent="0.3">
      <c r="A198" t="s">
        <v>326</v>
      </c>
      <c r="B198" s="4">
        <v>9.0899999999999995E-2</v>
      </c>
      <c r="C198" s="4">
        <v>9.0800000000000006E-2</v>
      </c>
      <c r="D198" s="4">
        <v>9.0999999999999998E-2</v>
      </c>
      <c r="E198" s="4">
        <f>AVERAGE(Data_filter_paper_weights[[#This Row],[Weight_1]:[Weight_3]])</f>
        <v>9.0899999999999995E-2</v>
      </c>
      <c r="F198" s="4">
        <v>0.1691</v>
      </c>
      <c r="G198" s="4">
        <v>0.16889999999999999</v>
      </c>
      <c r="H198" s="4">
        <f>AVERAGE(Data_filter_paper_weights[[#This Row],[Dry_weight_of_sediment+filter_paper_1]:[Dry_weight_of_sediment+filter_paper_2]])</f>
        <v>0.16899999999999998</v>
      </c>
      <c r="I198" s="4">
        <f>Data_filter_paper_weights[[#This Row],[Average_weight_of_sediment+filter_paper]]-Data_filter_paper_weights[[#This Row],[Average_weight]]</f>
        <v>7.8099999999999989E-2</v>
      </c>
    </row>
    <row r="199" spans="1:9" x14ac:dyDescent="0.3">
      <c r="A199" t="s">
        <v>327</v>
      </c>
      <c r="B199" s="4">
        <v>9.0800000000000006E-2</v>
      </c>
      <c r="C199" s="4">
        <v>9.0700000000000003E-2</v>
      </c>
      <c r="D199" s="4">
        <v>9.06E-2</v>
      </c>
      <c r="E199" s="4">
        <f>AVERAGE(Data_filter_paper_weights[[#This Row],[Weight_1]:[Weight_3]])</f>
        <v>9.0700000000000003E-2</v>
      </c>
      <c r="F199" s="4">
        <v>9.2700000000000005E-2</v>
      </c>
      <c r="G199" s="4">
        <v>9.2799999999999994E-2</v>
      </c>
      <c r="H199" s="4">
        <f>AVERAGE(Data_filter_paper_weights[[#This Row],[Dry_weight_of_sediment+filter_paper_1]:[Dry_weight_of_sediment+filter_paper_2]])</f>
        <v>9.2749999999999999E-2</v>
      </c>
      <c r="I199" s="4">
        <f>Data_filter_paper_weights[[#This Row],[Average_weight_of_sediment+filter_paper]]-Data_filter_paper_weights[[#This Row],[Average_weight]]</f>
        <v>2.0499999999999963E-3</v>
      </c>
    </row>
    <row r="200" spans="1:9" x14ac:dyDescent="0.3">
      <c r="A200" t="s">
        <v>328</v>
      </c>
      <c r="B200" s="4">
        <v>8.77E-2</v>
      </c>
      <c r="C200" s="4">
        <v>8.7599999999999997E-2</v>
      </c>
      <c r="D200" s="4">
        <v>8.7400000000000005E-2</v>
      </c>
      <c r="E200" s="4">
        <f>AVERAGE(Data_filter_paper_weights[[#This Row],[Weight_1]:[Weight_3]])</f>
        <v>8.7566666666666682E-2</v>
      </c>
      <c r="F200" s="4">
        <v>0.13500000000000001</v>
      </c>
      <c r="G200" s="4">
        <v>0.13519999999999999</v>
      </c>
      <c r="H200" s="4">
        <f>AVERAGE(Data_filter_paper_weights[[#This Row],[Dry_weight_of_sediment+filter_paper_1]:[Dry_weight_of_sediment+filter_paper_2]])</f>
        <v>0.1351</v>
      </c>
      <c r="I200" s="4">
        <f>Data_filter_paper_weights[[#This Row],[Average_weight_of_sediment+filter_paper]]-Data_filter_paper_weights[[#This Row],[Average_weight]]</f>
        <v>4.7533333333333316E-2</v>
      </c>
    </row>
    <row r="201" spans="1:9" x14ac:dyDescent="0.3">
      <c r="A201" t="s">
        <v>329</v>
      </c>
      <c r="B201" s="4">
        <v>8.7900000000000006E-2</v>
      </c>
      <c r="C201" s="4">
        <v>8.7599999999999997E-2</v>
      </c>
      <c r="D201" s="4">
        <v>8.77E-2</v>
      </c>
      <c r="E201" s="4">
        <f>AVERAGE(Data_filter_paper_weights[[#This Row],[Weight_1]:[Weight_3]])</f>
        <v>8.773333333333333E-2</v>
      </c>
      <c r="F201" s="4">
        <v>0.1512</v>
      </c>
      <c r="G201" s="4">
        <v>0.15129999999999999</v>
      </c>
      <c r="H201" s="4">
        <f>AVERAGE(Data_filter_paper_weights[[#This Row],[Dry_weight_of_sediment+filter_paper_1]:[Dry_weight_of_sediment+filter_paper_2]])</f>
        <v>0.15125</v>
      </c>
      <c r="I201" s="4">
        <f>Data_filter_paper_weights[[#This Row],[Average_weight_of_sediment+filter_paper]]-Data_filter_paper_weights[[#This Row],[Average_weight]]</f>
        <v>6.3516666666666666E-2</v>
      </c>
    </row>
    <row r="202" spans="1:9" x14ac:dyDescent="0.3">
      <c r="A202" t="s">
        <v>330</v>
      </c>
      <c r="B202" s="4">
        <v>8.3299999999999999E-2</v>
      </c>
      <c r="C202" s="4">
        <v>8.3199999999999996E-2</v>
      </c>
      <c r="D202" s="4">
        <v>8.3099999999999993E-2</v>
      </c>
      <c r="E202" s="4">
        <f>AVERAGE(Data_filter_paper_weights[[#This Row],[Weight_1]:[Weight_3]])</f>
        <v>8.3199999999999996E-2</v>
      </c>
      <c r="F202" s="4">
        <v>0.12130000000000001</v>
      </c>
      <c r="G202" s="4">
        <v>0.12139999999999999</v>
      </c>
      <c r="H202" s="4">
        <f>AVERAGE(Data_filter_paper_weights[[#This Row],[Dry_weight_of_sediment+filter_paper_1]:[Dry_weight_of_sediment+filter_paper_2]])</f>
        <v>0.12135</v>
      </c>
      <c r="I202" s="4">
        <f>Data_filter_paper_weights[[#This Row],[Average_weight_of_sediment+filter_paper]]-Data_filter_paper_weights[[#This Row],[Average_weight]]</f>
        <v>3.8150000000000003E-2</v>
      </c>
    </row>
    <row r="203" spans="1:9" x14ac:dyDescent="0.3">
      <c r="A203" t="s">
        <v>331</v>
      </c>
      <c r="B203" s="4">
        <v>8.3400000000000002E-2</v>
      </c>
      <c r="C203" s="4">
        <v>8.3500000000000005E-2</v>
      </c>
      <c r="D203" s="4">
        <v>8.3400000000000002E-2</v>
      </c>
      <c r="E203" s="4">
        <f>AVERAGE(Data_filter_paper_weights[[#This Row],[Weight_1]:[Weight_3]])</f>
        <v>8.3433333333333318E-2</v>
      </c>
      <c r="F203" s="4">
        <v>0.12330000000000001</v>
      </c>
      <c r="G203" s="4">
        <v>0.1234</v>
      </c>
      <c r="H203" s="4">
        <f>AVERAGE(Data_filter_paper_weights[[#This Row],[Dry_weight_of_sediment+filter_paper_1]:[Dry_weight_of_sediment+filter_paper_2]])</f>
        <v>0.12335</v>
      </c>
      <c r="I203" s="4">
        <f>Data_filter_paper_weights[[#This Row],[Average_weight_of_sediment+filter_paper]]-Data_filter_paper_weights[[#This Row],[Average_weight]]</f>
        <v>3.9916666666666684E-2</v>
      </c>
    </row>
    <row r="204" spans="1:9" x14ac:dyDescent="0.3">
      <c r="A204" t="s">
        <v>332</v>
      </c>
      <c r="B204" s="4">
        <v>8.3500000000000005E-2</v>
      </c>
      <c r="C204" s="4">
        <v>8.3599999999999994E-2</v>
      </c>
      <c r="D204" s="4">
        <v>8.3699999999999997E-2</v>
      </c>
      <c r="E204" s="4">
        <f>AVERAGE(Data_filter_paper_weights[[#This Row],[Weight_1]:[Weight_3]])</f>
        <v>8.3600000000000008E-2</v>
      </c>
      <c r="F204" s="4">
        <v>0.13589999999999999</v>
      </c>
      <c r="G204" s="4">
        <v>0.13600000000000001</v>
      </c>
      <c r="H204" s="4">
        <f>AVERAGE(Data_filter_paper_weights[[#This Row],[Dry_weight_of_sediment+filter_paper_1]:[Dry_weight_of_sediment+filter_paper_2]])</f>
        <v>0.13595000000000002</v>
      </c>
      <c r="I204" s="4">
        <f>Data_filter_paper_weights[[#This Row],[Average_weight_of_sediment+filter_paper]]-Data_filter_paper_weights[[#This Row],[Average_weight]]</f>
        <v>5.2350000000000008E-2</v>
      </c>
    </row>
    <row r="205" spans="1:9" x14ac:dyDescent="0.3">
      <c r="A205" t="s">
        <v>333</v>
      </c>
      <c r="B205" s="4">
        <v>8.4500000000000006E-2</v>
      </c>
      <c r="C205" s="4">
        <v>8.4500000000000006E-2</v>
      </c>
      <c r="D205" s="4">
        <v>8.4500000000000006E-2</v>
      </c>
      <c r="E205" s="4">
        <f>AVERAGE(Data_filter_paper_weights[[#This Row],[Weight_1]:[Weight_3]])</f>
        <v>8.4500000000000006E-2</v>
      </c>
      <c r="F205" s="4">
        <v>0.1338</v>
      </c>
      <c r="G205" s="4">
        <v>0.13370000000000001</v>
      </c>
      <c r="H205" s="4">
        <f>AVERAGE(Data_filter_paper_weights[[#This Row],[Dry_weight_of_sediment+filter_paper_1]:[Dry_weight_of_sediment+filter_paper_2]])</f>
        <v>0.13375000000000001</v>
      </c>
      <c r="I205" s="4">
        <f>Data_filter_paper_weights[[#This Row],[Average_weight_of_sediment+filter_paper]]-Data_filter_paper_weights[[#This Row],[Average_weight]]</f>
        <v>4.9250000000000002E-2</v>
      </c>
    </row>
    <row r="206" spans="1:9" x14ac:dyDescent="0.3">
      <c r="A206" t="s">
        <v>334</v>
      </c>
      <c r="B206" s="4">
        <v>9.0800000000000006E-2</v>
      </c>
      <c r="C206" s="4">
        <v>9.0700000000000003E-2</v>
      </c>
      <c r="D206" s="4">
        <v>9.06E-2</v>
      </c>
      <c r="E206" s="4">
        <f>AVERAGE(Data_filter_paper_weights[[#This Row],[Weight_1]:[Weight_3]])</f>
        <v>9.0700000000000003E-2</v>
      </c>
      <c r="F206" s="4">
        <v>0.1268</v>
      </c>
      <c r="G206" s="4">
        <v>0.1268</v>
      </c>
      <c r="H206" s="4">
        <f>AVERAGE(Data_filter_paper_weights[[#This Row],[Dry_weight_of_sediment+filter_paper_1]:[Dry_weight_of_sediment+filter_paper_2]])</f>
        <v>0.1268</v>
      </c>
      <c r="I206" s="4">
        <f>Data_filter_paper_weights[[#This Row],[Average_weight_of_sediment+filter_paper]]-Data_filter_paper_weights[[#This Row],[Average_weight]]</f>
        <v>3.6099999999999993E-2</v>
      </c>
    </row>
    <row r="207" spans="1:9" x14ac:dyDescent="0.3">
      <c r="A207" t="s">
        <v>335</v>
      </c>
      <c r="B207" s="4">
        <v>8.3500000000000005E-2</v>
      </c>
      <c r="C207" s="4">
        <v>8.3599999999999994E-2</v>
      </c>
      <c r="D207" s="4">
        <v>8.3699999999999997E-2</v>
      </c>
      <c r="E207" s="4">
        <f>AVERAGE(Data_filter_paper_weights[[#This Row],[Weight_1]:[Weight_3]])</f>
        <v>8.3600000000000008E-2</v>
      </c>
      <c r="F207" s="4">
        <v>0.13589999999999999</v>
      </c>
      <c r="G207" s="4">
        <v>0.13600000000000001</v>
      </c>
      <c r="H207" s="4">
        <f>AVERAGE(Data_filter_paper_weights[[#This Row],[Dry_weight_of_sediment+filter_paper_1]:[Dry_weight_of_sediment+filter_paper_2]])</f>
        <v>0.13595000000000002</v>
      </c>
      <c r="I207" s="4">
        <f>Data_filter_paper_weights[[#This Row],[Average_weight_of_sediment+filter_paper]]-Data_filter_paper_weights[[#This Row],[Average_weight]]</f>
        <v>5.2350000000000008E-2</v>
      </c>
    </row>
    <row r="208" spans="1:9" x14ac:dyDescent="0.3">
      <c r="A208" t="s">
        <v>336</v>
      </c>
      <c r="B208" s="4">
        <v>8.4500000000000006E-2</v>
      </c>
      <c r="C208" s="4">
        <v>8.4500000000000006E-2</v>
      </c>
      <c r="D208" s="4">
        <v>8.4500000000000006E-2</v>
      </c>
      <c r="E208" s="4">
        <f>AVERAGE(Data_filter_paper_weights[[#This Row],[Weight_1]:[Weight_3]])</f>
        <v>8.4500000000000006E-2</v>
      </c>
      <c r="F208" s="4">
        <v>0.1338</v>
      </c>
      <c r="G208" s="4">
        <v>0.13370000000000001</v>
      </c>
      <c r="H208" s="4">
        <f>AVERAGE(Data_filter_paper_weights[[#This Row],[Dry_weight_of_sediment+filter_paper_1]:[Dry_weight_of_sediment+filter_paper_2]])</f>
        <v>0.13375000000000001</v>
      </c>
      <c r="I208" s="4">
        <f>Data_filter_paper_weights[[#This Row],[Average_weight_of_sediment+filter_paper]]-Data_filter_paper_weights[[#This Row],[Average_weight]]</f>
        <v>4.9250000000000002E-2</v>
      </c>
    </row>
    <row r="209" spans="1:9" x14ac:dyDescent="0.3">
      <c r="A209" t="s">
        <v>337</v>
      </c>
      <c r="B209" s="4">
        <v>9.0800000000000006E-2</v>
      </c>
      <c r="C209" s="4">
        <v>9.0700000000000003E-2</v>
      </c>
      <c r="D209" s="4">
        <v>9.06E-2</v>
      </c>
      <c r="E209" s="4">
        <f>AVERAGE(Data_filter_paper_weights[[#This Row],[Weight_1]:[Weight_3]])</f>
        <v>9.0700000000000003E-2</v>
      </c>
      <c r="F209" s="4">
        <v>0.1268</v>
      </c>
      <c r="G209" s="4">
        <v>0.1268</v>
      </c>
      <c r="H209" s="4">
        <f>AVERAGE(Data_filter_paper_weights[[#This Row],[Dry_weight_of_sediment+filter_paper_1]:[Dry_weight_of_sediment+filter_paper_2]])</f>
        <v>0.1268</v>
      </c>
      <c r="I209" s="4">
        <f>Data_filter_paper_weights[[#This Row],[Average_weight_of_sediment+filter_paper]]-Data_filter_paper_weights[[#This Row],[Average_weight]]</f>
        <v>3.6099999999999993E-2</v>
      </c>
    </row>
    <row r="210" spans="1:9" x14ac:dyDescent="0.3">
      <c r="A210" t="s">
        <v>338</v>
      </c>
      <c r="B210" s="4">
        <v>9.0800000000000006E-2</v>
      </c>
      <c r="C210" s="4">
        <v>9.0999999999999998E-2</v>
      </c>
      <c r="D210" s="4">
        <v>9.0899999999999995E-2</v>
      </c>
      <c r="E210" s="4">
        <f>AVERAGE(Data_filter_paper_weights[[#This Row],[Weight_1]:[Weight_3]])</f>
        <v>9.0899999999999995E-2</v>
      </c>
      <c r="F210" s="4">
        <v>0.14099999999999999</v>
      </c>
      <c r="G210" s="4">
        <v>0.1411</v>
      </c>
      <c r="H210" s="4">
        <f>AVERAGE(Data_filter_paper_weights[[#This Row],[Dry_weight_of_sediment+filter_paper_1]:[Dry_weight_of_sediment+filter_paper_2]])</f>
        <v>0.14105000000000001</v>
      </c>
      <c r="I210" s="4">
        <f>Data_filter_paper_weights[[#This Row],[Average_weight_of_sediment+filter_paper]]-Data_filter_paper_weights[[#This Row],[Average_weight]]</f>
        <v>5.0150000000000014E-2</v>
      </c>
    </row>
    <row r="211" spans="1:9" x14ac:dyDescent="0.3">
      <c r="A211" t="s">
        <v>339</v>
      </c>
      <c r="B211" s="4">
        <v>8.4000000000000005E-2</v>
      </c>
      <c r="C211" s="4">
        <v>8.4000000000000005E-2</v>
      </c>
      <c r="D211" s="4">
        <v>8.3900000000000002E-2</v>
      </c>
      <c r="E211" s="4">
        <f>AVERAGE(Data_filter_paper_weights[[#This Row],[Weight_1]:[Weight_3]])</f>
        <v>8.3966666666666676E-2</v>
      </c>
      <c r="F211" s="4">
        <v>0.1663</v>
      </c>
      <c r="G211" s="4">
        <v>0.16639999999999999</v>
      </c>
      <c r="H211" s="4">
        <f>AVERAGE(Data_filter_paper_weights[[#This Row],[Dry_weight_of_sediment+filter_paper_1]:[Dry_weight_of_sediment+filter_paper_2]])</f>
        <v>0.16635</v>
      </c>
      <c r="I211" s="4">
        <f>Data_filter_paper_weights[[#This Row],[Average_weight_of_sediment+filter_paper]]-Data_filter_paper_weights[[#This Row],[Average_weight]]</f>
        <v>8.2383333333333322E-2</v>
      </c>
    </row>
    <row r="212" spans="1:9" x14ac:dyDescent="0.3">
      <c r="A212" t="s">
        <v>340</v>
      </c>
      <c r="B212" s="4">
        <v>8.3400000000000002E-2</v>
      </c>
      <c r="C212" s="4">
        <v>8.3500000000000005E-2</v>
      </c>
      <c r="D212" s="4">
        <v>8.3400000000000002E-2</v>
      </c>
      <c r="E212" s="4">
        <f>AVERAGE(Data_filter_paper_weights[[#This Row],[Weight_1]:[Weight_3]])</f>
        <v>8.3433333333333318E-2</v>
      </c>
      <c r="F212" s="4">
        <v>0.1061</v>
      </c>
      <c r="G212" s="4">
        <v>0.1062</v>
      </c>
      <c r="H212" s="4">
        <f>AVERAGE(Data_filter_paper_weights[[#This Row],[Dry_weight_of_sediment+filter_paper_1]:[Dry_weight_of_sediment+filter_paper_2]])</f>
        <v>0.10614999999999999</v>
      </c>
      <c r="I212" s="4">
        <f>Data_filter_paper_weights[[#This Row],[Average_weight_of_sediment+filter_paper]]-Data_filter_paper_weights[[#This Row],[Average_weight]]</f>
        <v>2.2716666666666677E-2</v>
      </c>
    </row>
    <row r="213" spans="1:9" x14ac:dyDescent="0.3">
      <c r="A213" t="s">
        <v>341</v>
      </c>
      <c r="B213" s="4">
        <v>8.3500000000000005E-2</v>
      </c>
      <c r="C213" s="4">
        <v>8.3599999999999994E-2</v>
      </c>
      <c r="D213" s="4">
        <v>8.3699999999999997E-2</v>
      </c>
      <c r="E213" s="4">
        <f>AVERAGE(Data_filter_paper_weights[[#This Row],[Weight_1]:[Weight_3]])</f>
        <v>8.3600000000000008E-2</v>
      </c>
      <c r="F213" s="4">
        <v>0.16120000000000001</v>
      </c>
      <c r="G213" s="4">
        <v>0.1613</v>
      </c>
      <c r="H213" s="4">
        <f>AVERAGE(Data_filter_paper_weights[[#This Row],[Dry_weight_of_sediment+filter_paper_1]:[Dry_weight_of_sediment+filter_paper_2]])</f>
        <v>0.16125</v>
      </c>
      <c r="I213" s="4">
        <f>Data_filter_paper_weights[[#This Row],[Average_weight_of_sediment+filter_paper]]-Data_filter_paper_weights[[#This Row],[Average_weight]]</f>
        <v>7.7649999999999997E-2</v>
      </c>
    </row>
    <row r="214" spans="1:9" x14ac:dyDescent="0.3">
      <c r="A214" t="s">
        <v>342</v>
      </c>
      <c r="B214" s="4">
        <v>8.43E-2</v>
      </c>
      <c r="C214" s="4">
        <v>8.4199999999999997E-2</v>
      </c>
      <c r="D214" s="4">
        <v>8.4099999999999994E-2</v>
      </c>
      <c r="E214" s="4">
        <f>AVERAGE(Data_filter_paper_weights[[#This Row],[Weight_1]:[Weight_3]])</f>
        <v>8.4199999999999997E-2</v>
      </c>
      <c r="F214" s="4">
        <v>0.2049</v>
      </c>
      <c r="G214" s="4">
        <v>0.20499999999999999</v>
      </c>
      <c r="H214" s="4">
        <f>AVERAGE(Data_filter_paper_weights[[#This Row],[Dry_weight_of_sediment+filter_paper_1]:[Dry_weight_of_sediment+filter_paper_2]])</f>
        <v>0.20494999999999999</v>
      </c>
      <c r="I214" s="4">
        <f>Data_filter_paper_weights[[#This Row],[Average_weight_of_sediment+filter_paper]]-Data_filter_paper_weights[[#This Row],[Average_weight]]</f>
        <v>0.12075</v>
      </c>
    </row>
    <row r="215" spans="1:9" x14ac:dyDescent="0.3">
      <c r="A215" t="s">
        <v>343</v>
      </c>
      <c r="B215" s="4">
        <v>8.4199999999999997E-2</v>
      </c>
      <c r="C215" s="4">
        <v>8.43E-2</v>
      </c>
      <c r="D215" s="4">
        <v>8.4199999999999997E-2</v>
      </c>
      <c r="E215" s="4">
        <f>AVERAGE(Data_filter_paper_weights[[#This Row],[Weight_1]:[Weight_3]])</f>
        <v>8.4233333333333327E-2</v>
      </c>
      <c r="F215" s="4">
        <v>0.85540000000000005</v>
      </c>
      <c r="G215" s="4">
        <v>0.85540000000000005</v>
      </c>
      <c r="H215" s="4">
        <f>AVERAGE(Data_filter_paper_weights[[#This Row],[Dry_weight_of_sediment+filter_paper_1]:[Dry_weight_of_sediment+filter_paper_2]])</f>
        <v>0.85540000000000005</v>
      </c>
      <c r="I215" s="4">
        <f>Data_filter_paper_weights[[#This Row],[Average_weight_of_sediment+filter_paper]]-Data_filter_paper_weights[[#This Row],[Average_weight]]</f>
        <v>0.77116666666666678</v>
      </c>
    </row>
    <row r="216" spans="1:9" x14ac:dyDescent="0.3">
      <c r="A216" t="s">
        <v>344</v>
      </c>
      <c r="B216" s="4">
        <v>8.4099999999999994E-2</v>
      </c>
      <c r="C216" s="4">
        <v>8.3900000000000002E-2</v>
      </c>
      <c r="D216" s="4">
        <v>8.4000000000000005E-2</v>
      </c>
      <c r="E216" s="4">
        <f>AVERAGE(Data_filter_paper_weights[[#This Row],[Weight_1]:[Weight_3]])</f>
        <v>8.4000000000000005E-2</v>
      </c>
      <c r="F216" s="4">
        <v>0.12790000000000001</v>
      </c>
      <c r="G216" s="4">
        <v>0.12790000000000001</v>
      </c>
      <c r="H216" s="4">
        <f>AVERAGE(Data_filter_paper_weights[[#This Row],[Dry_weight_of_sediment+filter_paper_1]:[Dry_weight_of_sediment+filter_paper_2]])</f>
        <v>0.12790000000000001</v>
      </c>
      <c r="I216" s="4">
        <f>Data_filter_paper_weights[[#This Row],[Average_weight_of_sediment+filter_paper]]-Data_filter_paper_weights[[#This Row],[Average_weight]]</f>
        <v>4.3900000000000008E-2</v>
      </c>
    </row>
    <row r="217" spans="1:9" x14ac:dyDescent="0.3">
      <c r="A217" t="s">
        <v>345</v>
      </c>
      <c r="B217" s="4">
        <v>8.77E-2</v>
      </c>
      <c r="C217" s="4">
        <v>8.7599999999999997E-2</v>
      </c>
      <c r="D217" s="4">
        <v>8.7400000000000005E-2</v>
      </c>
      <c r="E217" s="4">
        <f>AVERAGE(Data_filter_paper_weights[[#This Row],[Weight_1]:[Weight_3]])</f>
        <v>8.7566666666666682E-2</v>
      </c>
      <c r="F217" s="4">
        <v>0.1474</v>
      </c>
      <c r="G217" s="4">
        <v>0.1474</v>
      </c>
      <c r="H217" s="4">
        <f>AVERAGE(Data_filter_paper_weights[[#This Row],[Dry_weight_of_sediment+filter_paper_1]:[Dry_weight_of_sediment+filter_paper_2]])</f>
        <v>0.1474</v>
      </c>
      <c r="I217" s="4">
        <f>Data_filter_paper_weights[[#This Row],[Average_weight_of_sediment+filter_paper]]-Data_filter_paper_weights[[#This Row],[Average_weight]]</f>
        <v>5.9833333333333322E-2</v>
      </c>
    </row>
    <row r="218" spans="1:9" x14ac:dyDescent="0.3">
      <c r="A218" t="s">
        <v>346</v>
      </c>
      <c r="B218" s="4">
        <v>8.7499999999999994E-2</v>
      </c>
      <c r="C218" s="4">
        <v>8.7400000000000005E-2</v>
      </c>
      <c r="D218" s="4">
        <v>8.7300000000000003E-2</v>
      </c>
      <c r="E218" s="4">
        <f>AVERAGE(Data_filter_paper_weights[[#This Row],[Weight_1]:[Weight_3]])</f>
        <v>8.7399999999999992E-2</v>
      </c>
      <c r="F218" s="4">
        <v>0.1313</v>
      </c>
      <c r="G218" s="4">
        <v>0.1313</v>
      </c>
      <c r="H218" s="4">
        <f>AVERAGE(Data_filter_paper_weights[[#This Row],[Dry_weight_of_sediment+filter_paper_1]:[Dry_weight_of_sediment+filter_paper_2]])</f>
        <v>0.1313</v>
      </c>
      <c r="I218" s="4">
        <f>Data_filter_paper_weights[[#This Row],[Average_weight_of_sediment+filter_paper]]-Data_filter_paper_weights[[#This Row],[Average_weight]]</f>
        <v>4.3900000000000008E-2</v>
      </c>
    </row>
    <row r="219" spans="1:9" x14ac:dyDescent="0.3">
      <c r="A219" t="s">
        <v>347</v>
      </c>
      <c r="B219" s="4">
        <v>9.0899999999999995E-2</v>
      </c>
      <c r="C219" s="4">
        <v>9.0800000000000006E-2</v>
      </c>
      <c r="D219" s="4">
        <v>9.0999999999999998E-2</v>
      </c>
      <c r="E219" s="4">
        <f>AVERAGE(Data_filter_paper_weights[[#This Row],[Weight_1]:[Weight_3]])</f>
        <v>9.0899999999999995E-2</v>
      </c>
      <c r="F219" s="4">
        <v>0.1691</v>
      </c>
      <c r="G219" s="4">
        <v>0.16889999999999999</v>
      </c>
      <c r="H219" s="4">
        <f>AVERAGE(Data_filter_paper_weights[[#This Row],[Dry_weight_of_sediment+filter_paper_1]:[Dry_weight_of_sediment+filter_paper_2]])</f>
        <v>0.16899999999999998</v>
      </c>
      <c r="I219" s="4">
        <f>Data_filter_paper_weights[[#This Row],[Average_weight_of_sediment+filter_paper]]-Data_filter_paper_weights[[#This Row],[Average_weight]]</f>
        <v>7.8099999999999989E-2</v>
      </c>
    </row>
    <row r="220" spans="1:9" x14ac:dyDescent="0.3">
      <c r="A220" t="s">
        <v>348</v>
      </c>
      <c r="B220" s="4">
        <v>8.3500000000000005E-2</v>
      </c>
      <c r="C220" s="4">
        <v>8.3599999999999994E-2</v>
      </c>
      <c r="D220" s="4">
        <v>8.3699999999999997E-2</v>
      </c>
      <c r="E220" s="4">
        <f>AVERAGE(Data_filter_paper_weights[[#This Row],[Weight_1]:[Weight_3]])</f>
        <v>8.3600000000000008E-2</v>
      </c>
      <c r="F220" s="4">
        <v>0.13589999999999999</v>
      </c>
      <c r="G220" s="4">
        <v>0.13600000000000001</v>
      </c>
      <c r="H220" s="4">
        <f>AVERAGE(Data_filter_paper_weights[[#This Row],[Dry_weight_of_sediment+filter_paper_1]:[Dry_weight_of_sediment+filter_paper_2]])</f>
        <v>0.13595000000000002</v>
      </c>
      <c r="I220" s="4">
        <f>Data_filter_paper_weights[[#This Row],[Average_weight_of_sediment+filter_paper]]-Data_filter_paper_weights[[#This Row],[Average_weight]]</f>
        <v>5.2350000000000008E-2</v>
      </c>
    </row>
    <row r="221" spans="1:9" x14ac:dyDescent="0.3">
      <c r="A221" t="s">
        <v>349</v>
      </c>
      <c r="B221" s="4">
        <v>8.4500000000000006E-2</v>
      </c>
      <c r="C221" s="4">
        <v>8.4500000000000006E-2</v>
      </c>
      <c r="D221" s="4">
        <v>8.4500000000000006E-2</v>
      </c>
      <c r="E221" s="4">
        <f>AVERAGE(Data_filter_paper_weights[[#This Row],[Weight_1]:[Weight_3]])</f>
        <v>8.4500000000000006E-2</v>
      </c>
      <c r="F221" s="4">
        <v>0.1338</v>
      </c>
      <c r="G221" s="4">
        <v>0.13370000000000001</v>
      </c>
      <c r="H221" s="4">
        <f>AVERAGE(Data_filter_paper_weights[[#This Row],[Dry_weight_of_sediment+filter_paper_1]:[Dry_weight_of_sediment+filter_paper_2]])</f>
        <v>0.13375000000000001</v>
      </c>
      <c r="I221" s="4">
        <f>Data_filter_paper_weights[[#This Row],[Average_weight_of_sediment+filter_paper]]-Data_filter_paper_weights[[#This Row],[Average_weight]]</f>
        <v>4.9250000000000002E-2</v>
      </c>
    </row>
    <row r="222" spans="1:9" x14ac:dyDescent="0.3">
      <c r="A222" t="s">
        <v>350</v>
      </c>
      <c r="B222" s="4">
        <v>9.0800000000000006E-2</v>
      </c>
      <c r="C222" s="4">
        <v>9.0700000000000003E-2</v>
      </c>
      <c r="D222" s="4">
        <v>9.06E-2</v>
      </c>
      <c r="E222" s="4">
        <f>AVERAGE(Data_filter_paper_weights[[#This Row],[Weight_1]:[Weight_3]])</f>
        <v>9.0700000000000003E-2</v>
      </c>
      <c r="F222" s="4">
        <v>0.1268</v>
      </c>
      <c r="G222" s="4">
        <v>0.1268</v>
      </c>
      <c r="H222" s="4">
        <f>AVERAGE(Data_filter_paper_weights[[#This Row],[Dry_weight_of_sediment+filter_paper_1]:[Dry_weight_of_sediment+filter_paper_2]])</f>
        <v>0.1268</v>
      </c>
      <c r="I222" s="4">
        <f>Data_filter_paper_weights[[#This Row],[Average_weight_of_sediment+filter_paper]]-Data_filter_paper_weights[[#This Row],[Average_weight]]</f>
        <v>3.6099999999999993E-2</v>
      </c>
    </row>
    <row r="223" spans="1:9" x14ac:dyDescent="0.3">
      <c r="A223" t="s">
        <v>351</v>
      </c>
      <c r="B223" s="4">
        <v>8.3500000000000005E-2</v>
      </c>
      <c r="C223" s="4">
        <v>8.3599999999999994E-2</v>
      </c>
      <c r="D223" s="4">
        <v>8.3699999999999997E-2</v>
      </c>
      <c r="E223" s="4">
        <f>AVERAGE(Data_filter_paper_weights[[#This Row],[Weight_1]:[Weight_3]])</f>
        <v>8.3600000000000008E-2</v>
      </c>
      <c r="F223" s="4">
        <v>0.13589999999999999</v>
      </c>
      <c r="G223" s="4">
        <v>0.13600000000000001</v>
      </c>
      <c r="H223" s="4">
        <f>AVERAGE(Data_filter_paper_weights[[#This Row],[Dry_weight_of_sediment+filter_paper_1]:[Dry_weight_of_sediment+filter_paper_2]])</f>
        <v>0.13595000000000002</v>
      </c>
      <c r="I223" s="4">
        <f>Data_filter_paper_weights[[#This Row],[Average_weight_of_sediment+filter_paper]]-Data_filter_paper_weights[[#This Row],[Average_weight]]</f>
        <v>5.2350000000000008E-2</v>
      </c>
    </row>
    <row r="224" spans="1:9" x14ac:dyDescent="0.3">
      <c r="A224" t="s">
        <v>352</v>
      </c>
      <c r="B224" s="4">
        <v>8.4500000000000006E-2</v>
      </c>
      <c r="C224" s="4">
        <v>8.4500000000000006E-2</v>
      </c>
      <c r="D224" s="4">
        <v>8.4500000000000006E-2</v>
      </c>
      <c r="E224" s="4">
        <f>AVERAGE(Data_filter_paper_weights[[#This Row],[Weight_1]:[Weight_3]])</f>
        <v>8.4500000000000006E-2</v>
      </c>
      <c r="F224" s="4"/>
      <c r="G224" s="4"/>
      <c r="H224" s="4"/>
      <c r="I224" s="4"/>
    </row>
    <row r="225" spans="1:9" x14ac:dyDescent="0.3">
      <c r="A225" t="s">
        <v>353</v>
      </c>
      <c r="B225" s="4">
        <v>9.0800000000000006E-2</v>
      </c>
      <c r="C225" s="4">
        <v>9.0700000000000003E-2</v>
      </c>
      <c r="D225" s="4">
        <v>9.06E-2</v>
      </c>
      <c r="E225" s="4">
        <f>AVERAGE(Data_filter_paper_weights[[#This Row],[Weight_1]:[Weight_3]])</f>
        <v>9.0700000000000003E-2</v>
      </c>
      <c r="F225" s="4">
        <v>0.1268</v>
      </c>
      <c r="G225" s="4">
        <v>0.1268</v>
      </c>
      <c r="H225" s="4">
        <f>AVERAGE(Data_filter_paper_weights[[#This Row],[Dry_weight_of_sediment+filter_paper_1]:[Dry_weight_of_sediment+filter_paper_2]])</f>
        <v>0.1268</v>
      </c>
      <c r="I225" s="4">
        <f>Data_filter_paper_weights[[#This Row],[Average_weight_of_sediment+filter_paper]]-Data_filter_paper_weights[[#This Row],[Average_weight]]</f>
        <v>3.6099999999999993E-2</v>
      </c>
    </row>
    <row r="226" spans="1:9" x14ac:dyDescent="0.3">
      <c r="A226" t="s">
        <v>354</v>
      </c>
      <c r="B226" s="4">
        <v>9.0899999999999995E-2</v>
      </c>
      <c r="C226" s="4">
        <v>9.0800000000000006E-2</v>
      </c>
      <c r="D226" s="4">
        <v>9.0999999999999998E-2</v>
      </c>
      <c r="E226" s="4">
        <f>AVERAGE(Data_filter_paper_weights[[#This Row],[Weight_1]:[Weight_3]])</f>
        <v>9.0899999999999995E-2</v>
      </c>
      <c r="F226" s="4">
        <v>0.1691</v>
      </c>
      <c r="G226" s="4">
        <v>0.16889999999999999</v>
      </c>
      <c r="H226" s="4">
        <f>AVERAGE(Data_filter_paper_weights[[#This Row],[Dry_weight_of_sediment+filter_paper_1]:[Dry_weight_of_sediment+filter_paper_2]])</f>
        <v>0.16899999999999998</v>
      </c>
      <c r="I226" s="4">
        <f>Data_filter_paper_weights[[#This Row],[Average_weight_of_sediment+filter_paper]]-Data_filter_paper_weights[[#This Row],[Average_weight]]</f>
        <v>7.8099999999999989E-2</v>
      </c>
    </row>
    <row r="227" spans="1:9" x14ac:dyDescent="0.3">
      <c r="A227" t="s">
        <v>355</v>
      </c>
      <c r="B227" s="4">
        <v>9.0800000000000006E-2</v>
      </c>
      <c r="C227" s="4">
        <v>9.0700000000000003E-2</v>
      </c>
      <c r="D227" s="4">
        <v>9.06E-2</v>
      </c>
      <c r="E227" s="4">
        <f>AVERAGE(Data_filter_paper_weights[[#This Row],[Weight_1]:[Weight_3]])</f>
        <v>9.0700000000000003E-2</v>
      </c>
      <c r="F227" s="4">
        <v>9.2700000000000005E-2</v>
      </c>
      <c r="G227" s="4">
        <v>9.2799999999999994E-2</v>
      </c>
      <c r="H227" s="4">
        <f>AVERAGE(Data_filter_paper_weights[[#This Row],[Dry_weight_of_sediment+filter_paper_1]:[Dry_weight_of_sediment+filter_paper_2]])</f>
        <v>9.2749999999999999E-2</v>
      </c>
      <c r="I227" s="4">
        <f>Data_filter_paper_weights[[#This Row],[Average_weight_of_sediment+filter_paper]]-Data_filter_paper_weights[[#This Row],[Average_weight]]</f>
        <v>2.0499999999999963E-3</v>
      </c>
    </row>
    <row r="228" spans="1:9" x14ac:dyDescent="0.3">
      <c r="A228" t="s">
        <v>356</v>
      </c>
      <c r="B228" s="4">
        <v>8.77E-2</v>
      </c>
      <c r="C228" s="4">
        <v>8.7599999999999997E-2</v>
      </c>
      <c r="D228" s="4">
        <v>8.7400000000000005E-2</v>
      </c>
      <c r="E228" s="4">
        <f>AVERAGE(Data_filter_paper_weights[[#This Row],[Weight_1]:[Weight_3]])</f>
        <v>8.7566666666666682E-2</v>
      </c>
      <c r="F228" s="4">
        <v>0.13500000000000001</v>
      </c>
      <c r="G228" s="4">
        <v>0.13519999999999999</v>
      </c>
      <c r="H228" s="4">
        <f>AVERAGE(Data_filter_paper_weights[[#This Row],[Dry_weight_of_sediment+filter_paper_1]:[Dry_weight_of_sediment+filter_paper_2]])</f>
        <v>0.1351</v>
      </c>
      <c r="I228" s="4">
        <f>Data_filter_paper_weights[[#This Row],[Average_weight_of_sediment+filter_paper]]-Data_filter_paper_weights[[#This Row],[Average_weight]]</f>
        <v>4.7533333333333316E-2</v>
      </c>
    </row>
    <row r="229" spans="1:9" x14ac:dyDescent="0.3">
      <c r="A229" t="s">
        <v>357</v>
      </c>
      <c r="B229" s="4">
        <v>8.7900000000000006E-2</v>
      </c>
      <c r="C229" s="4">
        <v>8.7599999999999997E-2</v>
      </c>
      <c r="D229" s="4">
        <v>8.77E-2</v>
      </c>
      <c r="E229" s="4">
        <f>AVERAGE(Data_filter_paper_weights[[#This Row],[Weight_1]:[Weight_3]])</f>
        <v>8.773333333333333E-2</v>
      </c>
      <c r="F229" s="4">
        <v>0.1512</v>
      </c>
      <c r="G229" s="4">
        <v>0.15129999999999999</v>
      </c>
      <c r="H229" s="4">
        <f>AVERAGE(Data_filter_paper_weights[[#This Row],[Dry_weight_of_sediment+filter_paper_1]:[Dry_weight_of_sediment+filter_paper_2]])</f>
        <v>0.15125</v>
      </c>
      <c r="I229" s="4">
        <f>Data_filter_paper_weights[[#This Row],[Average_weight_of_sediment+filter_paper]]-Data_filter_paper_weights[[#This Row],[Average_weight]]</f>
        <v>6.3516666666666666E-2</v>
      </c>
    </row>
    <row r="230" spans="1:9" x14ac:dyDescent="0.3">
      <c r="A230" t="s">
        <v>358</v>
      </c>
      <c r="B230" s="4">
        <v>8.3299999999999999E-2</v>
      </c>
      <c r="C230" s="4">
        <v>8.3199999999999996E-2</v>
      </c>
      <c r="D230" s="4">
        <v>8.3099999999999993E-2</v>
      </c>
      <c r="E230" s="4">
        <f>AVERAGE(Data_filter_paper_weights[[#This Row],[Weight_1]:[Weight_3]])</f>
        <v>8.3199999999999996E-2</v>
      </c>
      <c r="F230" s="4">
        <v>0.12130000000000001</v>
      </c>
      <c r="G230" s="4">
        <v>0.12139999999999999</v>
      </c>
      <c r="H230" s="4">
        <f>AVERAGE(Data_filter_paper_weights[[#This Row],[Dry_weight_of_sediment+filter_paper_1]:[Dry_weight_of_sediment+filter_paper_2]])</f>
        <v>0.12135</v>
      </c>
      <c r="I230" s="4">
        <f>Data_filter_paper_weights[[#This Row],[Average_weight_of_sediment+filter_paper]]-Data_filter_paper_weights[[#This Row],[Average_weight]]</f>
        <v>3.8150000000000003E-2</v>
      </c>
    </row>
    <row r="231" spans="1:9" x14ac:dyDescent="0.3">
      <c r="A231" t="s">
        <v>359</v>
      </c>
      <c r="B231" s="4">
        <v>8.3400000000000002E-2</v>
      </c>
      <c r="C231" s="4">
        <v>8.3500000000000005E-2</v>
      </c>
      <c r="D231" s="4">
        <v>8.3400000000000002E-2</v>
      </c>
      <c r="E231" s="4">
        <f>AVERAGE(Data_filter_paper_weights[[#This Row],[Weight_1]:[Weight_3]])</f>
        <v>8.3433333333333318E-2</v>
      </c>
      <c r="F231" s="4">
        <v>0.12330000000000001</v>
      </c>
      <c r="G231" s="4">
        <v>0.1234</v>
      </c>
      <c r="H231" s="4">
        <f>AVERAGE(Data_filter_paper_weights[[#This Row],[Dry_weight_of_sediment+filter_paper_1]:[Dry_weight_of_sediment+filter_paper_2]])</f>
        <v>0.12335</v>
      </c>
      <c r="I231" s="4">
        <f>Data_filter_paper_weights[[#This Row],[Average_weight_of_sediment+filter_paper]]-Data_filter_paper_weights[[#This Row],[Average_weight]]</f>
        <v>3.9916666666666684E-2</v>
      </c>
    </row>
    <row r="232" spans="1:9" x14ac:dyDescent="0.3">
      <c r="A232" t="s">
        <v>360</v>
      </c>
      <c r="B232" s="4">
        <v>8.3500000000000005E-2</v>
      </c>
      <c r="C232" s="4">
        <v>8.3599999999999994E-2</v>
      </c>
      <c r="D232" s="4">
        <v>8.3699999999999997E-2</v>
      </c>
      <c r="E232" s="4">
        <f>AVERAGE(Data_filter_paper_weights[[#This Row],[Weight_1]:[Weight_3]])</f>
        <v>8.3600000000000008E-2</v>
      </c>
      <c r="F232" s="4">
        <v>0.13589999999999999</v>
      </c>
      <c r="G232" s="4">
        <v>0.13600000000000001</v>
      </c>
      <c r="H232" s="4">
        <f>AVERAGE(Data_filter_paper_weights[[#This Row],[Dry_weight_of_sediment+filter_paper_1]:[Dry_weight_of_sediment+filter_paper_2]])</f>
        <v>0.13595000000000002</v>
      </c>
      <c r="I232" s="4">
        <f>Data_filter_paper_weights[[#This Row],[Average_weight_of_sediment+filter_paper]]-Data_filter_paper_weights[[#This Row],[Average_weight]]</f>
        <v>5.2350000000000008E-2</v>
      </c>
    </row>
    <row r="233" spans="1:9" x14ac:dyDescent="0.3">
      <c r="A233" t="s">
        <v>361</v>
      </c>
      <c r="B233" s="4">
        <v>8.4500000000000006E-2</v>
      </c>
      <c r="C233" s="4">
        <v>8.4500000000000006E-2</v>
      </c>
      <c r="D233" s="4">
        <v>8.4500000000000006E-2</v>
      </c>
      <c r="E233" s="4">
        <f>AVERAGE(Data_filter_paper_weights[[#This Row],[Weight_1]:[Weight_3]])</f>
        <v>8.4500000000000006E-2</v>
      </c>
      <c r="F233" s="4">
        <v>0.1338</v>
      </c>
      <c r="G233" s="4">
        <v>0.13370000000000001</v>
      </c>
      <c r="H233" s="4">
        <f>AVERAGE(Data_filter_paper_weights[[#This Row],[Dry_weight_of_sediment+filter_paper_1]:[Dry_weight_of_sediment+filter_paper_2]])</f>
        <v>0.13375000000000001</v>
      </c>
      <c r="I233" s="4">
        <f>Data_filter_paper_weights[[#This Row],[Average_weight_of_sediment+filter_paper]]-Data_filter_paper_weights[[#This Row],[Average_weight]]</f>
        <v>4.9250000000000002E-2</v>
      </c>
    </row>
    <row r="234" spans="1:9" x14ac:dyDescent="0.3">
      <c r="A234" t="s">
        <v>362</v>
      </c>
      <c r="B234" s="4">
        <v>8.77E-2</v>
      </c>
      <c r="C234" s="4">
        <v>8.7599999999999997E-2</v>
      </c>
      <c r="D234" s="4">
        <v>8.7400000000000005E-2</v>
      </c>
      <c r="E234" s="4">
        <f>AVERAGE(Data_filter_paper_weights[[#This Row],[Weight_1]:[Weight_3]])</f>
        <v>8.7566666666666682E-2</v>
      </c>
      <c r="F234" s="4"/>
      <c r="G234" s="4"/>
      <c r="H234" s="4"/>
      <c r="I234" s="4"/>
    </row>
    <row r="235" spans="1:9" x14ac:dyDescent="0.3">
      <c r="A235" t="s">
        <v>363</v>
      </c>
      <c r="B235" s="4">
        <v>9.0899999999999995E-2</v>
      </c>
      <c r="C235" s="4">
        <v>9.0800000000000006E-2</v>
      </c>
      <c r="D235" s="4">
        <v>9.0999999999999998E-2</v>
      </c>
      <c r="E235" s="4">
        <f>AVERAGE(Data_filter_paper_weights[[#This Row],[Weight_1]:[Weight_3]])</f>
        <v>9.0899999999999995E-2</v>
      </c>
      <c r="F235" s="4">
        <v>0.14050000000000001</v>
      </c>
      <c r="G235" s="4">
        <v>0.14050000000000001</v>
      </c>
      <c r="H235" s="4">
        <f>AVERAGE(Data_filter_paper_weights[[#This Row],[Dry_weight_of_sediment+filter_paper_1]:[Dry_weight_of_sediment+filter_paper_2]])</f>
        <v>0.14050000000000001</v>
      </c>
      <c r="I235" s="4">
        <f>Data_filter_paper_weights[[#This Row],[Average_weight_of_sediment+filter_paper]]-Data_filter_paper_weights[[#This Row],[Average_weight]]</f>
        <v>4.9600000000000019E-2</v>
      </c>
    </row>
    <row r="236" spans="1:9" x14ac:dyDescent="0.3">
      <c r="A236" t="s">
        <v>364</v>
      </c>
      <c r="B236" s="4">
        <v>8.3900000000000002E-2</v>
      </c>
      <c r="C236" s="4">
        <v>8.4000000000000005E-2</v>
      </c>
      <c r="D236" s="4">
        <v>8.4000000000000005E-2</v>
      </c>
      <c r="E236" s="4">
        <f>AVERAGE(Data_filter_paper_weights[[#This Row],[Weight_1]:[Weight_3]])</f>
        <v>8.3966666666666676E-2</v>
      </c>
      <c r="F236" s="4">
        <v>0.46179999999999999</v>
      </c>
      <c r="G236" s="4">
        <v>0.4617</v>
      </c>
      <c r="H236" s="4">
        <f>AVERAGE(Data_filter_paper_weights[[#This Row],[Dry_weight_of_sediment+filter_paper_1]:[Dry_weight_of_sediment+filter_paper_2]])</f>
        <v>0.46174999999999999</v>
      </c>
      <c r="I236" s="4">
        <f>Data_filter_paper_weights[[#This Row],[Average_weight_of_sediment+filter_paper]]-Data_filter_paper_weights[[#This Row],[Average_weight]]</f>
        <v>0.3777833333333333</v>
      </c>
    </row>
    <row r="237" spans="1:9" x14ac:dyDescent="0.3">
      <c r="A237" t="s">
        <v>365</v>
      </c>
      <c r="B237" s="4">
        <v>8.3500000000000005E-2</v>
      </c>
      <c r="C237" s="4">
        <v>8.3599999999999994E-2</v>
      </c>
      <c r="D237" s="4">
        <v>8.3699999999999997E-2</v>
      </c>
      <c r="E237" s="4">
        <f>AVERAGE(Data_filter_paper_weights[[#This Row],[Weight_1]:[Weight_3]])</f>
        <v>8.3600000000000008E-2</v>
      </c>
      <c r="F237" s="4">
        <v>0.17499999999999999</v>
      </c>
      <c r="G237" s="4">
        <v>0.17499999999999999</v>
      </c>
      <c r="H237" s="4">
        <f>AVERAGE(Data_filter_paper_weights[[#This Row],[Dry_weight_of_sediment+filter_paper_1]:[Dry_weight_of_sediment+filter_paper_2]])</f>
        <v>0.17499999999999999</v>
      </c>
      <c r="I237" s="4">
        <f>Data_filter_paper_weights[[#This Row],[Average_weight_of_sediment+filter_paper]]-Data_filter_paper_weights[[#This Row],[Average_weight]]</f>
        <v>9.1399999999999981E-2</v>
      </c>
    </row>
    <row r="238" spans="1:9" x14ac:dyDescent="0.3">
      <c r="A238" t="s">
        <v>366</v>
      </c>
      <c r="B238" s="4">
        <v>8.8599999999999998E-2</v>
      </c>
      <c r="C238" s="4">
        <v>8.8499999999999995E-2</v>
      </c>
      <c r="D238" s="4">
        <v>8.8400000000000006E-2</v>
      </c>
      <c r="E238" s="4">
        <f>AVERAGE(Data_filter_paper_weights[[#This Row],[Weight_1]:[Weight_3]])</f>
        <v>8.8499999999999981E-2</v>
      </c>
      <c r="F238" s="4">
        <v>0.18010000000000001</v>
      </c>
      <c r="G238" s="4">
        <v>0.1799</v>
      </c>
      <c r="H238" s="4">
        <f>AVERAGE(Data_filter_paper_weights[[#This Row],[Dry_weight_of_sediment+filter_paper_1]:[Dry_weight_of_sediment+filter_paper_2]])</f>
        <v>0.18</v>
      </c>
      <c r="I238" s="4">
        <f>Data_filter_paper_weights[[#This Row],[Average_weight_of_sediment+filter_paper]]-Data_filter_paper_weights[[#This Row],[Average_weight]]</f>
        <v>9.1500000000000012E-2</v>
      </c>
    </row>
    <row r="239" spans="1:9" x14ac:dyDescent="0.3">
      <c r="A239" t="s">
        <v>367</v>
      </c>
      <c r="B239" s="4">
        <v>8.3500000000000005E-2</v>
      </c>
      <c r="C239" s="4">
        <v>8.3599999999999994E-2</v>
      </c>
      <c r="D239" s="4">
        <v>8.3699999999999997E-2</v>
      </c>
      <c r="E239" s="4">
        <f>AVERAGE(Data_filter_paper_weights[[#This Row],[Weight_1]:[Weight_3]])</f>
        <v>8.3600000000000008E-2</v>
      </c>
      <c r="F239" s="4">
        <v>0.13589999999999999</v>
      </c>
      <c r="G239" s="4">
        <v>0.13600000000000001</v>
      </c>
      <c r="H239" s="4">
        <f>AVERAGE(Data_filter_paper_weights[[#This Row],[Dry_weight_of_sediment+filter_paper_1]:[Dry_weight_of_sediment+filter_paper_2]])</f>
        <v>0.13595000000000002</v>
      </c>
      <c r="I239" s="4">
        <f>Data_filter_paper_weights[[#This Row],[Average_weight_of_sediment+filter_paper]]-Data_filter_paper_weights[[#This Row],[Average_weight]]</f>
        <v>5.2350000000000008E-2</v>
      </c>
    </row>
    <row r="240" spans="1:9" x14ac:dyDescent="0.3">
      <c r="A240" t="s">
        <v>368</v>
      </c>
      <c r="B240" s="4">
        <v>8.4500000000000006E-2</v>
      </c>
      <c r="C240" s="4">
        <v>8.4500000000000006E-2</v>
      </c>
      <c r="D240" s="4">
        <v>8.4500000000000006E-2</v>
      </c>
      <c r="E240" s="4">
        <f>AVERAGE(Data_filter_paper_weights[[#This Row],[Weight_1]:[Weight_3]])</f>
        <v>8.4500000000000006E-2</v>
      </c>
      <c r="F240" s="4">
        <v>0.1338</v>
      </c>
      <c r="G240" s="4">
        <v>0.13370000000000001</v>
      </c>
      <c r="H240" s="4">
        <f>AVERAGE(Data_filter_paper_weights[[#This Row],[Dry_weight_of_sediment+filter_paper_1]:[Dry_weight_of_sediment+filter_paper_2]])</f>
        <v>0.13375000000000001</v>
      </c>
      <c r="I240" s="4">
        <f>Data_filter_paper_weights[[#This Row],[Average_weight_of_sediment+filter_paper]]-Data_filter_paper_weights[[#This Row],[Average_weight]]</f>
        <v>4.9250000000000002E-2</v>
      </c>
    </row>
    <row r="241" spans="1:9" x14ac:dyDescent="0.3">
      <c r="A241" t="s">
        <v>369</v>
      </c>
      <c r="B241" s="4">
        <v>9.0800000000000006E-2</v>
      </c>
      <c r="C241" s="4">
        <v>9.0700000000000003E-2</v>
      </c>
      <c r="D241" s="4">
        <v>9.06E-2</v>
      </c>
      <c r="E241" s="4">
        <f>AVERAGE(Data_filter_paper_weights[[#This Row],[Weight_1]:[Weight_3]])</f>
        <v>9.0700000000000003E-2</v>
      </c>
      <c r="F241" s="4">
        <v>0.1268</v>
      </c>
      <c r="G241" s="4">
        <v>0.1268</v>
      </c>
      <c r="H241" s="4">
        <f>AVERAGE(Data_filter_paper_weights[[#This Row],[Dry_weight_of_sediment+filter_paper_1]:[Dry_weight_of_sediment+filter_paper_2]])</f>
        <v>0.1268</v>
      </c>
      <c r="I241" s="4">
        <f>Data_filter_paper_weights[[#This Row],[Average_weight_of_sediment+filter_paper]]-Data_filter_paper_weights[[#This Row],[Average_weight]]</f>
        <v>3.6099999999999993E-2</v>
      </c>
    </row>
    <row r="242" spans="1:9" x14ac:dyDescent="0.3">
      <c r="A242" t="s">
        <v>370</v>
      </c>
      <c r="B242" s="4">
        <v>9.0899999999999995E-2</v>
      </c>
      <c r="C242" s="4">
        <v>9.0800000000000006E-2</v>
      </c>
      <c r="D242" s="4">
        <v>9.0999999999999998E-2</v>
      </c>
      <c r="E242" s="4">
        <f>AVERAGE(Data_filter_paper_weights[[#This Row],[Weight_1]:[Weight_3]])</f>
        <v>9.0899999999999995E-2</v>
      </c>
      <c r="F242" s="4">
        <v>0.1691</v>
      </c>
      <c r="G242" s="4">
        <v>0.16889999999999999</v>
      </c>
      <c r="H242" s="4">
        <f>AVERAGE(Data_filter_paper_weights[[#This Row],[Dry_weight_of_sediment+filter_paper_1]:[Dry_weight_of_sediment+filter_paper_2]])</f>
        <v>0.16899999999999998</v>
      </c>
      <c r="I242" s="4">
        <f>Data_filter_paper_weights[[#This Row],[Average_weight_of_sediment+filter_paper]]-Data_filter_paper_weights[[#This Row],[Average_weight]]</f>
        <v>7.8099999999999989E-2</v>
      </c>
    </row>
    <row r="243" spans="1:9" x14ac:dyDescent="0.3">
      <c r="A243" t="s">
        <v>371</v>
      </c>
      <c r="B243" s="4">
        <v>9.0800000000000006E-2</v>
      </c>
      <c r="C243" s="4">
        <v>9.0700000000000003E-2</v>
      </c>
      <c r="D243" s="4">
        <v>9.06E-2</v>
      </c>
      <c r="E243" s="4">
        <f>AVERAGE(Data_filter_paper_weights[[#This Row],[Weight_1]:[Weight_3]])</f>
        <v>9.0700000000000003E-2</v>
      </c>
      <c r="F243" s="4">
        <v>9.2700000000000005E-2</v>
      </c>
      <c r="G243" s="4">
        <v>9.2799999999999994E-2</v>
      </c>
      <c r="H243" s="4">
        <f>AVERAGE(Data_filter_paper_weights[[#This Row],[Dry_weight_of_sediment+filter_paper_1]:[Dry_weight_of_sediment+filter_paper_2]])</f>
        <v>9.2749999999999999E-2</v>
      </c>
      <c r="I243" s="4">
        <f>Data_filter_paper_weights[[#This Row],[Average_weight_of_sediment+filter_paper]]-Data_filter_paper_weights[[#This Row],[Average_weight]]</f>
        <v>2.0499999999999963E-3</v>
      </c>
    </row>
    <row r="244" spans="1:9" x14ac:dyDescent="0.3">
      <c r="A244" t="s">
        <v>372</v>
      </c>
      <c r="B244" s="4">
        <v>8.77E-2</v>
      </c>
      <c r="C244" s="4">
        <v>8.7599999999999997E-2</v>
      </c>
      <c r="D244" s="4">
        <v>8.7400000000000005E-2</v>
      </c>
      <c r="E244" s="4">
        <f>AVERAGE(Data_filter_paper_weights[[#This Row],[Weight_1]:[Weight_3]])</f>
        <v>8.7566666666666682E-2</v>
      </c>
      <c r="F244" s="4">
        <v>0.13500000000000001</v>
      </c>
      <c r="G244" s="4">
        <v>0.13519999999999999</v>
      </c>
      <c r="H244" s="4">
        <f>AVERAGE(Data_filter_paper_weights[[#This Row],[Dry_weight_of_sediment+filter_paper_1]:[Dry_weight_of_sediment+filter_paper_2]])</f>
        <v>0.1351</v>
      </c>
      <c r="I244" s="4">
        <f>Data_filter_paper_weights[[#This Row],[Average_weight_of_sediment+filter_paper]]-Data_filter_paper_weights[[#This Row],[Average_weight]]</f>
        <v>4.7533333333333316E-2</v>
      </c>
    </row>
    <row r="245" spans="1:9" x14ac:dyDescent="0.3">
      <c r="A245" t="s">
        <v>373</v>
      </c>
      <c r="B245" s="4">
        <v>8.7900000000000006E-2</v>
      </c>
      <c r="C245" s="4">
        <v>8.7599999999999997E-2</v>
      </c>
      <c r="D245" s="4">
        <v>8.77E-2</v>
      </c>
      <c r="E245" s="4">
        <f>AVERAGE(Data_filter_paper_weights[[#This Row],[Weight_1]:[Weight_3]])</f>
        <v>8.773333333333333E-2</v>
      </c>
      <c r="F245" s="4">
        <v>0.1512</v>
      </c>
      <c r="G245" s="4">
        <v>0.15129999999999999</v>
      </c>
      <c r="H245" s="4">
        <f>AVERAGE(Data_filter_paper_weights[[#This Row],[Dry_weight_of_sediment+filter_paper_1]:[Dry_weight_of_sediment+filter_paper_2]])</f>
        <v>0.15125</v>
      </c>
      <c r="I245" s="4">
        <f>Data_filter_paper_weights[[#This Row],[Average_weight_of_sediment+filter_paper]]-Data_filter_paper_weights[[#This Row],[Average_weight]]</f>
        <v>6.3516666666666666E-2</v>
      </c>
    </row>
    <row r="246" spans="1:9" x14ac:dyDescent="0.3">
      <c r="A246" t="s">
        <v>374</v>
      </c>
      <c r="B246" s="4">
        <v>8.3299999999999999E-2</v>
      </c>
      <c r="C246" s="4">
        <v>8.3199999999999996E-2</v>
      </c>
      <c r="D246" s="4">
        <v>8.3099999999999993E-2</v>
      </c>
      <c r="E246" s="4">
        <f>AVERAGE(Data_filter_paper_weights[[#This Row],[Weight_1]:[Weight_3]])</f>
        <v>8.3199999999999996E-2</v>
      </c>
      <c r="F246" s="4">
        <v>0.12130000000000001</v>
      </c>
      <c r="G246" s="4">
        <v>0.12139999999999999</v>
      </c>
      <c r="H246" s="4">
        <f>AVERAGE(Data_filter_paper_weights[[#This Row],[Dry_weight_of_sediment+filter_paper_1]:[Dry_weight_of_sediment+filter_paper_2]])</f>
        <v>0.12135</v>
      </c>
      <c r="I246" s="4">
        <f>Data_filter_paper_weights[[#This Row],[Average_weight_of_sediment+filter_paper]]-Data_filter_paper_weights[[#This Row],[Average_weight]]</f>
        <v>3.8150000000000003E-2</v>
      </c>
    </row>
    <row r="247" spans="1:9" x14ac:dyDescent="0.3">
      <c r="A247" t="s">
        <v>375</v>
      </c>
      <c r="B247" s="4">
        <v>8.3400000000000002E-2</v>
      </c>
      <c r="C247" s="4">
        <v>8.3500000000000005E-2</v>
      </c>
      <c r="D247" s="4">
        <v>8.3400000000000002E-2</v>
      </c>
      <c r="E247" s="4">
        <f>AVERAGE(Data_filter_paper_weights[[#This Row],[Weight_1]:[Weight_3]])</f>
        <v>8.3433333333333318E-2</v>
      </c>
      <c r="F247" s="4">
        <v>0.12330000000000001</v>
      </c>
      <c r="G247" s="4">
        <v>0.1234</v>
      </c>
      <c r="H247" s="4">
        <f>AVERAGE(Data_filter_paper_weights[[#This Row],[Dry_weight_of_sediment+filter_paper_1]:[Dry_weight_of_sediment+filter_paper_2]])</f>
        <v>0.12335</v>
      </c>
      <c r="I247" s="4">
        <f>Data_filter_paper_weights[[#This Row],[Average_weight_of_sediment+filter_paper]]-Data_filter_paper_weights[[#This Row],[Average_weight]]</f>
        <v>3.9916666666666684E-2</v>
      </c>
    </row>
    <row r="248" spans="1:9" x14ac:dyDescent="0.3">
      <c r="A248" t="s">
        <v>376</v>
      </c>
      <c r="B248" s="4">
        <v>8.3500000000000005E-2</v>
      </c>
      <c r="C248" s="4">
        <v>8.3599999999999994E-2</v>
      </c>
      <c r="D248" s="4">
        <v>8.3699999999999997E-2</v>
      </c>
      <c r="E248" s="4">
        <f>AVERAGE(Data_filter_paper_weights[[#This Row],[Weight_1]:[Weight_3]])</f>
        <v>8.3600000000000008E-2</v>
      </c>
      <c r="F248" s="4">
        <v>0.13589999999999999</v>
      </c>
      <c r="G248" s="4">
        <v>0.13600000000000001</v>
      </c>
      <c r="H248" s="4">
        <f>AVERAGE(Data_filter_paper_weights[[#This Row],[Dry_weight_of_sediment+filter_paper_1]:[Dry_weight_of_sediment+filter_paper_2]])</f>
        <v>0.13595000000000002</v>
      </c>
      <c r="I248" s="4">
        <f>Data_filter_paper_weights[[#This Row],[Average_weight_of_sediment+filter_paper]]-Data_filter_paper_weights[[#This Row],[Average_weight]]</f>
        <v>5.2350000000000008E-2</v>
      </c>
    </row>
    <row r="249" spans="1:9" x14ac:dyDescent="0.3">
      <c r="A249" t="s">
        <v>377</v>
      </c>
      <c r="B249" s="4">
        <v>8.4500000000000006E-2</v>
      </c>
      <c r="C249" s="4">
        <v>8.4500000000000006E-2</v>
      </c>
      <c r="D249" s="4">
        <v>8.4500000000000006E-2</v>
      </c>
      <c r="E249" s="4">
        <f>AVERAGE(Data_filter_paper_weights[[#This Row],[Weight_1]:[Weight_3]])</f>
        <v>8.4500000000000006E-2</v>
      </c>
      <c r="F249" s="4">
        <v>0.1338</v>
      </c>
      <c r="G249" s="4">
        <v>0.13370000000000001</v>
      </c>
      <c r="H249" s="4">
        <f>AVERAGE(Data_filter_paper_weights[[#This Row],[Dry_weight_of_sediment+filter_paper_1]:[Dry_weight_of_sediment+filter_paper_2]])</f>
        <v>0.13375000000000001</v>
      </c>
      <c r="I249" s="4">
        <f>Data_filter_paper_weights[[#This Row],[Average_weight_of_sediment+filter_paper]]-Data_filter_paper_weights[[#This Row],[Average_weight]]</f>
        <v>4.9250000000000002E-2</v>
      </c>
    </row>
    <row r="250" spans="1:9" x14ac:dyDescent="0.3">
      <c r="A250" t="s">
        <v>378</v>
      </c>
      <c r="B250" s="4">
        <v>8.77E-2</v>
      </c>
      <c r="C250" s="4">
        <v>8.7599999999999997E-2</v>
      </c>
      <c r="D250" s="4">
        <v>8.7400000000000005E-2</v>
      </c>
      <c r="E250" s="4">
        <f>AVERAGE(Data_filter_paper_weights[[#This Row],[Weight_1]:[Weight_3]])</f>
        <v>8.7566666666666682E-2</v>
      </c>
      <c r="F250" s="4">
        <v>0.1764</v>
      </c>
      <c r="G250" s="4">
        <v>0.17630000000000001</v>
      </c>
      <c r="H250" s="4">
        <f>AVERAGE(Data_filter_paper_weights[[#This Row],[Dry_weight_of_sediment+filter_paper_1]:[Dry_weight_of_sediment+filter_paper_2]])</f>
        <v>0.17635000000000001</v>
      </c>
      <c r="I250" s="4">
        <f>Data_filter_paper_weights[[#This Row],[Average_weight_of_sediment+filter_paper]]-Data_filter_paper_weights[[#This Row],[Average_weight]]</f>
        <v>8.8783333333333325E-2</v>
      </c>
    </row>
    <row r="251" spans="1:9" x14ac:dyDescent="0.3">
      <c r="A251" t="s">
        <v>379</v>
      </c>
      <c r="B251" s="4">
        <v>9.0899999999999995E-2</v>
      </c>
      <c r="C251" s="4">
        <v>9.0800000000000006E-2</v>
      </c>
      <c r="D251" s="4">
        <v>9.0999999999999998E-2</v>
      </c>
      <c r="E251" s="4">
        <f>AVERAGE(Data_filter_paper_weights[[#This Row],[Weight_1]:[Weight_3]])</f>
        <v>9.0899999999999995E-2</v>
      </c>
      <c r="F251" s="4">
        <v>0.14050000000000001</v>
      </c>
      <c r="G251" s="4">
        <v>0.14050000000000001</v>
      </c>
      <c r="H251" s="4">
        <f>AVERAGE(Data_filter_paper_weights[[#This Row],[Dry_weight_of_sediment+filter_paper_1]:[Dry_weight_of_sediment+filter_paper_2]])</f>
        <v>0.14050000000000001</v>
      </c>
      <c r="I251" s="4">
        <f>Data_filter_paper_weights[[#This Row],[Average_weight_of_sediment+filter_paper]]-Data_filter_paper_weights[[#This Row],[Average_weight]]</f>
        <v>4.9600000000000019E-2</v>
      </c>
    </row>
    <row r="252" spans="1:9" x14ac:dyDescent="0.3">
      <c r="A252" t="s">
        <v>380</v>
      </c>
      <c r="B252" s="4">
        <v>8.3900000000000002E-2</v>
      </c>
      <c r="C252" s="4">
        <v>8.4000000000000005E-2</v>
      </c>
      <c r="D252" s="4">
        <v>8.4000000000000005E-2</v>
      </c>
      <c r="E252" s="4">
        <f>AVERAGE(Data_filter_paper_weights[[#This Row],[Weight_1]:[Weight_3]])</f>
        <v>8.3966666666666676E-2</v>
      </c>
      <c r="F252" s="4">
        <v>0.46179999999999999</v>
      </c>
      <c r="G252" s="4">
        <v>0.4617</v>
      </c>
      <c r="H252" s="4">
        <f>AVERAGE(Data_filter_paper_weights[[#This Row],[Dry_weight_of_sediment+filter_paper_1]:[Dry_weight_of_sediment+filter_paper_2]])</f>
        <v>0.46174999999999999</v>
      </c>
      <c r="I252" s="4">
        <f>Data_filter_paper_weights[[#This Row],[Average_weight_of_sediment+filter_paper]]-Data_filter_paper_weights[[#This Row],[Average_weight]]</f>
        <v>0.3777833333333333</v>
      </c>
    </row>
    <row r="253" spans="1:9" x14ac:dyDescent="0.3">
      <c r="A253" t="s">
        <v>381</v>
      </c>
      <c r="B253" s="4">
        <v>8.3500000000000005E-2</v>
      </c>
      <c r="C253" s="4">
        <v>8.3599999999999994E-2</v>
      </c>
      <c r="D253" s="4">
        <v>8.3699999999999997E-2</v>
      </c>
      <c r="E253" s="4">
        <f>AVERAGE(Data_filter_paper_weights[[#This Row],[Weight_1]:[Weight_3]])</f>
        <v>8.3600000000000008E-2</v>
      </c>
      <c r="F253" s="4">
        <v>0.17499999999999999</v>
      </c>
      <c r="G253" s="4">
        <v>0.17499999999999999</v>
      </c>
      <c r="H253" s="4">
        <f>AVERAGE(Data_filter_paper_weights[[#This Row],[Dry_weight_of_sediment+filter_paper_1]:[Dry_weight_of_sediment+filter_paper_2]])</f>
        <v>0.17499999999999999</v>
      </c>
      <c r="I253" s="4">
        <f>Data_filter_paper_weights[[#This Row],[Average_weight_of_sediment+filter_paper]]-Data_filter_paper_weights[[#This Row],[Average_weight]]</f>
        <v>9.1399999999999981E-2</v>
      </c>
    </row>
    <row r="254" spans="1:9" x14ac:dyDescent="0.3">
      <c r="A254" t="s">
        <v>382</v>
      </c>
      <c r="B254" s="4">
        <v>8.8599999999999998E-2</v>
      </c>
      <c r="C254" s="4">
        <v>8.8499999999999995E-2</v>
      </c>
      <c r="D254" s="4">
        <v>8.8400000000000006E-2</v>
      </c>
      <c r="E254" s="4">
        <f>AVERAGE(Data_filter_paper_weights[[#This Row],[Weight_1]:[Weight_3]])</f>
        <v>8.8499999999999981E-2</v>
      </c>
      <c r="F254" s="4"/>
      <c r="G254" s="4"/>
      <c r="H254" s="4"/>
      <c r="I254" s="4"/>
    </row>
    <row r="255" spans="1:9" x14ac:dyDescent="0.3">
      <c r="A255" t="s">
        <v>383</v>
      </c>
      <c r="B255" s="4">
        <v>8.77E-2</v>
      </c>
      <c r="C255" s="4">
        <v>8.7599999999999997E-2</v>
      </c>
      <c r="D255" s="4">
        <v>8.7400000000000005E-2</v>
      </c>
      <c r="E255" s="4">
        <f>AVERAGE(Data_filter_paper_weights[[#This Row],[Weight_1]:[Weight_3]])</f>
        <v>8.7566666666666682E-2</v>
      </c>
      <c r="F255" s="4">
        <v>0.1764</v>
      </c>
      <c r="G255" s="4">
        <v>0.17630000000000001</v>
      </c>
      <c r="H255" s="4">
        <f>AVERAGE(Data_filter_paper_weights[[#This Row],[Dry_weight_of_sediment+filter_paper_1]:[Dry_weight_of_sediment+filter_paper_2]])</f>
        <v>0.17635000000000001</v>
      </c>
      <c r="I255" s="4">
        <f>Data_filter_paper_weights[[#This Row],[Average_weight_of_sediment+filter_paper]]-Data_filter_paper_weights[[#This Row],[Average_weight]]</f>
        <v>8.8783333333333325E-2</v>
      </c>
    </row>
    <row r="256" spans="1:9" x14ac:dyDescent="0.3">
      <c r="A256" t="s">
        <v>384</v>
      </c>
      <c r="B256" s="4">
        <v>9.0899999999999995E-2</v>
      </c>
      <c r="C256" s="4">
        <v>9.0800000000000006E-2</v>
      </c>
      <c r="D256" s="4">
        <v>9.0999999999999998E-2</v>
      </c>
      <c r="E256" s="4">
        <f>AVERAGE(Data_filter_paper_weights[[#This Row],[Weight_1]:[Weight_3]])</f>
        <v>9.0899999999999995E-2</v>
      </c>
      <c r="F256" s="4">
        <v>0.14050000000000001</v>
      </c>
      <c r="G256" s="4">
        <v>0.14050000000000001</v>
      </c>
      <c r="H256" s="4">
        <f>AVERAGE(Data_filter_paper_weights[[#This Row],[Dry_weight_of_sediment+filter_paper_1]:[Dry_weight_of_sediment+filter_paper_2]])</f>
        <v>0.14050000000000001</v>
      </c>
      <c r="I256" s="4">
        <f>Data_filter_paper_weights[[#This Row],[Average_weight_of_sediment+filter_paper]]-Data_filter_paper_weights[[#This Row],[Average_weight]]</f>
        <v>4.9600000000000019E-2</v>
      </c>
    </row>
    <row r="257" spans="1:9" x14ac:dyDescent="0.3">
      <c r="A257" t="s">
        <v>385</v>
      </c>
      <c r="B257" s="4">
        <v>8.3900000000000002E-2</v>
      </c>
      <c r="C257" s="4">
        <v>8.4000000000000005E-2</v>
      </c>
      <c r="D257" s="4">
        <v>8.4000000000000005E-2</v>
      </c>
      <c r="E257" s="4">
        <f>AVERAGE(Data_filter_paper_weights[[#This Row],[Weight_1]:[Weight_3]])</f>
        <v>8.3966666666666676E-2</v>
      </c>
      <c r="F257" s="4">
        <v>0.46179999999999999</v>
      </c>
      <c r="G257" s="4">
        <v>0.4617</v>
      </c>
      <c r="H257" s="4">
        <f>AVERAGE(Data_filter_paper_weights[[#This Row],[Dry_weight_of_sediment+filter_paper_1]:[Dry_weight_of_sediment+filter_paper_2]])</f>
        <v>0.46174999999999999</v>
      </c>
      <c r="I257" s="4">
        <f>Data_filter_paper_weights[[#This Row],[Average_weight_of_sediment+filter_paper]]-Data_filter_paper_weights[[#This Row],[Average_weight]]</f>
        <v>0.3777833333333333</v>
      </c>
    </row>
    <row r="258" spans="1:9" x14ac:dyDescent="0.3">
      <c r="A258" t="s">
        <v>386</v>
      </c>
      <c r="B258" s="4">
        <v>8.3500000000000005E-2</v>
      </c>
      <c r="C258" s="4">
        <v>8.3599999999999994E-2</v>
      </c>
      <c r="D258" s="4">
        <v>8.3699999999999997E-2</v>
      </c>
      <c r="E258" s="4">
        <f>AVERAGE(Data_filter_paper_weights[[#This Row],[Weight_1]:[Weight_3]])</f>
        <v>8.3600000000000008E-2</v>
      </c>
      <c r="F258" s="4">
        <v>0.17499999999999999</v>
      </c>
      <c r="G258" s="4">
        <v>0.17499999999999999</v>
      </c>
      <c r="H258" s="4">
        <f>AVERAGE(Data_filter_paper_weights[[#This Row],[Dry_weight_of_sediment+filter_paper_1]:[Dry_weight_of_sediment+filter_paper_2]])</f>
        <v>0.17499999999999999</v>
      </c>
      <c r="I258" s="4">
        <f>Data_filter_paper_weights[[#This Row],[Average_weight_of_sediment+filter_paper]]-Data_filter_paper_weights[[#This Row],[Average_weight]]</f>
        <v>9.1399999999999981E-2</v>
      </c>
    </row>
    <row r="259" spans="1:9" x14ac:dyDescent="0.3">
      <c r="A259" t="s">
        <v>387</v>
      </c>
      <c r="B259" s="4">
        <v>8.8599999999999998E-2</v>
      </c>
      <c r="C259" s="4">
        <v>8.8499999999999995E-2</v>
      </c>
      <c r="D259" s="4">
        <v>8.8400000000000006E-2</v>
      </c>
      <c r="E259" s="4">
        <f>AVERAGE(Data_filter_paper_weights[[#This Row],[Weight_1]:[Weight_3]])</f>
        <v>8.8499999999999981E-2</v>
      </c>
      <c r="F259" s="4">
        <v>0.18010000000000001</v>
      </c>
      <c r="G259" s="4">
        <v>0.1799</v>
      </c>
      <c r="H259" s="4">
        <f>AVERAGE(Data_filter_paper_weights[[#This Row],[Dry_weight_of_sediment+filter_paper_1]:[Dry_weight_of_sediment+filter_paper_2]])</f>
        <v>0.18</v>
      </c>
      <c r="I259" s="4">
        <f>Data_filter_paper_weights[[#This Row],[Average_weight_of_sediment+filter_paper]]-Data_filter_paper_weights[[#This Row],[Average_weight]]</f>
        <v>9.1500000000000012E-2</v>
      </c>
    </row>
    <row r="260" spans="1:9" x14ac:dyDescent="0.3">
      <c r="A260" t="s">
        <v>388</v>
      </c>
      <c r="B260" s="4">
        <v>8.3500000000000005E-2</v>
      </c>
      <c r="C260" s="4">
        <v>8.3599999999999994E-2</v>
      </c>
      <c r="D260" s="4">
        <v>8.3699999999999997E-2</v>
      </c>
      <c r="E260" s="4">
        <f>AVERAGE(Data_filter_paper_weights[[#This Row],[Weight_1]:[Weight_3]])</f>
        <v>8.3600000000000008E-2</v>
      </c>
      <c r="F260" s="4">
        <v>0.13589999999999999</v>
      </c>
      <c r="G260" s="4">
        <v>0.13600000000000001</v>
      </c>
      <c r="H260" s="4">
        <f>AVERAGE(Data_filter_paper_weights[[#This Row],[Dry_weight_of_sediment+filter_paper_1]:[Dry_weight_of_sediment+filter_paper_2]])</f>
        <v>0.13595000000000002</v>
      </c>
      <c r="I260" s="4">
        <f>Data_filter_paper_weights[[#This Row],[Average_weight_of_sediment+filter_paper]]-Data_filter_paper_weights[[#This Row],[Average_weight]]</f>
        <v>5.2350000000000008E-2</v>
      </c>
    </row>
    <row r="261" spans="1:9" x14ac:dyDescent="0.3">
      <c r="A261" t="s">
        <v>389</v>
      </c>
      <c r="B261" s="4">
        <v>8.4500000000000006E-2</v>
      </c>
      <c r="C261" s="4">
        <v>8.4500000000000006E-2</v>
      </c>
      <c r="D261" s="4">
        <v>8.4500000000000006E-2</v>
      </c>
      <c r="E261" s="4">
        <f>AVERAGE(Data_filter_paper_weights[[#This Row],[Weight_1]:[Weight_3]])</f>
        <v>8.4500000000000006E-2</v>
      </c>
      <c r="F261" s="4">
        <v>0.1338</v>
      </c>
      <c r="G261" s="4">
        <v>0.13370000000000001</v>
      </c>
      <c r="H261" s="4">
        <f>AVERAGE(Data_filter_paper_weights[[#This Row],[Dry_weight_of_sediment+filter_paper_1]:[Dry_weight_of_sediment+filter_paper_2]])</f>
        <v>0.13375000000000001</v>
      </c>
      <c r="I261" s="4">
        <f>Data_filter_paper_weights[[#This Row],[Average_weight_of_sediment+filter_paper]]-Data_filter_paper_weights[[#This Row],[Average_weight]]</f>
        <v>4.9250000000000002E-2</v>
      </c>
    </row>
    <row r="262" spans="1:9" x14ac:dyDescent="0.3">
      <c r="A262" t="s">
        <v>390</v>
      </c>
      <c r="B262" s="4">
        <v>9.0800000000000006E-2</v>
      </c>
      <c r="C262" s="4">
        <v>9.0700000000000003E-2</v>
      </c>
      <c r="D262" s="4">
        <v>9.06E-2</v>
      </c>
      <c r="E262" s="4">
        <f>AVERAGE(Data_filter_paper_weights[[#This Row],[Weight_1]:[Weight_3]])</f>
        <v>9.0700000000000003E-2</v>
      </c>
      <c r="F262" s="4">
        <v>0.1268</v>
      </c>
      <c r="G262" s="4">
        <v>0.1268</v>
      </c>
      <c r="H262" s="4">
        <f>AVERAGE(Data_filter_paper_weights[[#This Row],[Dry_weight_of_sediment+filter_paper_1]:[Dry_weight_of_sediment+filter_paper_2]])</f>
        <v>0.1268</v>
      </c>
      <c r="I262" s="4">
        <f>Data_filter_paper_weights[[#This Row],[Average_weight_of_sediment+filter_paper]]-Data_filter_paper_weights[[#This Row],[Average_weight]]</f>
        <v>3.6099999999999993E-2</v>
      </c>
    </row>
    <row r="263" spans="1:9" x14ac:dyDescent="0.3">
      <c r="A263" t="s">
        <v>391</v>
      </c>
      <c r="B263" s="4">
        <v>9.0899999999999995E-2</v>
      </c>
      <c r="C263" s="4">
        <v>9.0800000000000006E-2</v>
      </c>
      <c r="D263" s="4">
        <v>9.0999999999999998E-2</v>
      </c>
      <c r="E263" s="4">
        <f>AVERAGE(Data_filter_paper_weights[[#This Row],[Weight_1]:[Weight_3]])</f>
        <v>9.0899999999999995E-2</v>
      </c>
      <c r="F263" s="4">
        <v>0.1691</v>
      </c>
      <c r="G263" s="4">
        <v>0.16889999999999999</v>
      </c>
      <c r="H263" s="4">
        <f>AVERAGE(Data_filter_paper_weights[[#This Row],[Dry_weight_of_sediment+filter_paper_1]:[Dry_weight_of_sediment+filter_paper_2]])</f>
        <v>0.16899999999999998</v>
      </c>
      <c r="I263" s="4">
        <f>Data_filter_paper_weights[[#This Row],[Average_weight_of_sediment+filter_paper]]-Data_filter_paper_weights[[#This Row],[Average_weight]]</f>
        <v>7.8099999999999989E-2</v>
      </c>
    </row>
    <row r="264" spans="1:9" x14ac:dyDescent="0.3">
      <c r="A264" t="s">
        <v>392</v>
      </c>
      <c r="B264" s="4">
        <v>8.3500000000000005E-2</v>
      </c>
      <c r="C264" s="4">
        <v>8.3599999999999994E-2</v>
      </c>
      <c r="D264" s="4">
        <v>8.3699999999999997E-2</v>
      </c>
      <c r="E264" s="4">
        <f>AVERAGE(Data_filter_paper_weights[[#This Row],[Weight_1]:[Weight_3]])</f>
        <v>8.3600000000000008E-2</v>
      </c>
      <c r="F264" s="4">
        <v>0.13589999999999999</v>
      </c>
      <c r="G264" s="4">
        <v>0.13600000000000001</v>
      </c>
      <c r="H264" s="4">
        <f>AVERAGE(Data_filter_paper_weights[[#This Row],[Dry_weight_of_sediment+filter_paper_1]:[Dry_weight_of_sediment+filter_paper_2]])</f>
        <v>0.13595000000000002</v>
      </c>
      <c r="I264" s="4">
        <f>Data_filter_paper_weights[[#This Row],[Average_weight_of_sediment+filter_paper]]-Data_filter_paper_weights[[#This Row],[Average_weight]]</f>
        <v>5.2350000000000008E-2</v>
      </c>
    </row>
    <row r="265" spans="1:9" x14ac:dyDescent="0.3">
      <c r="A265" t="s">
        <v>393</v>
      </c>
      <c r="B265" s="4">
        <v>8.4500000000000006E-2</v>
      </c>
      <c r="C265" s="4">
        <v>8.4500000000000006E-2</v>
      </c>
      <c r="D265" s="4">
        <v>8.4500000000000006E-2</v>
      </c>
      <c r="E265" s="4">
        <f>AVERAGE(Data_filter_paper_weights[[#This Row],[Weight_1]:[Weight_3]])</f>
        <v>8.4500000000000006E-2</v>
      </c>
      <c r="F265" s="4">
        <v>0.1338</v>
      </c>
      <c r="G265" s="4">
        <v>0.13370000000000001</v>
      </c>
      <c r="H265" s="4">
        <f>AVERAGE(Data_filter_paper_weights[[#This Row],[Dry_weight_of_sediment+filter_paper_1]:[Dry_weight_of_sediment+filter_paper_2]])</f>
        <v>0.13375000000000001</v>
      </c>
      <c r="I265" s="4">
        <f>Data_filter_paper_weights[[#This Row],[Average_weight_of_sediment+filter_paper]]-Data_filter_paper_weights[[#This Row],[Average_weight]]</f>
        <v>4.9250000000000002E-2</v>
      </c>
    </row>
    <row r="266" spans="1:9" x14ac:dyDescent="0.3">
      <c r="A266" t="s">
        <v>394</v>
      </c>
      <c r="B266" s="4">
        <v>8.77E-2</v>
      </c>
      <c r="C266" s="4">
        <v>8.7599999999999997E-2</v>
      </c>
      <c r="D266" s="4">
        <v>8.7400000000000005E-2</v>
      </c>
      <c r="E266" s="4">
        <f>AVERAGE(Data_filter_paper_weights[[#This Row],[Weight_1]:[Weight_3]])</f>
        <v>8.7566666666666682E-2</v>
      </c>
      <c r="F266" s="4">
        <v>0.1764</v>
      </c>
      <c r="G266" s="4">
        <v>0.17630000000000001</v>
      </c>
      <c r="H266" s="4">
        <f>AVERAGE(Data_filter_paper_weights[[#This Row],[Dry_weight_of_sediment+filter_paper_1]:[Dry_weight_of_sediment+filter_paper_2]])</f>
        <v>0.17635000000000001</v>
      </c>
      <c r="I266" s="4">
        <f>Data_filter_paper_weights[[#This Row],[Average_weight_of_sediment+filter_paper]]-Data_filter_paper_weights[[#This Row],[Average_weight]]</f>
        <v>8.8783333333333325E-2</v>
      </c>
    </row>
    <row r="267" spans="1:9" x14ac:dyDescent="0.3">
      <c r="A267" t="s">
        <v>395</v>
      </c>
      <c r="B267" s="4">
        <v>9.0899999999999995E-2</v>
      </c>
      <c r="C267" s="4">
        <v>9.0800000000000006E-2</v>
      </c>
      <c r="D267" s="4">
        <v>9.0999999999999998E-2</v>
      </c>
      <c r="E267" s="4">
        <f>AVERAGE(Data_filter_paper_weights[[#This Row],[Weight_1]:[Weight_3]])</f>
        <v>9.0899999999999995E-2</v>
      </c>
      <c r="F267" s="4">
        <v>0.14050000000000001</v>
      </c>
      <c r="G267" s="4">
        <v>0.14050000000000001</v>
      </c>
      <c r="H267" s="4">
        <f>AVERAGE(Data_filter_paper_weights[[#This Row],[Dry_weight_of_sediment+filter_paper_1]:[Dry_weight_of_sediment+filter_paper_2]])</f>
        <v>0.14050000000000001</v>
      </c>
      <c r="I267" s="4">
        <f>Data_filter_paper_weights[[#This Row],[Average_weight_of_sediment+filter_paper]]-Data_filter_paper_weights[[#This Row],[Average_weight]]</f>
        <v>4.9600000000000019E-2</v>
      </c>
    </row>
    <row r="268" spans="1:9" x14ac:dyDescent="0.3">
      <c r="A268" t="s">
        <v>396</v>
      </c>
      <c r="B268" s="4">
        <v>8.3900000000000002E-2</v>
      </c>
      <c r="C268" s="4">
        <v>8.4000000000000005E-2</v>
      </c>
      <c r="D268" s="4">
        <v>8.4000000000000005E-2</v>
      </c>
      <c r="E268" s="4">
        <f>AVERAGE(Data_filter_paper_weights[[#This Row],[Weight_1]:[Weight_3]])</f>
        <v>8.3966666666666676E-2</v>
      </c>
      <c r="F268" s="4">
        <v>0.46179999999999999</v>
      </c>
      <c r="G268" s="4">
        <v>0.4617</v>
      </c>
      <c r="H268" s="4">
        <f>AVERAGE(Data_filter_paper_weights[[#This Row],[Dry_weight_of_sediment+filter_paper_1]:[Dry_weight_of_sediment+filter_paper_2]])</f>
        <v>0.46174999999999999</v>
      </c>
      <c r="I268" s="4">
        <f>Data_filter_paper_weights[[#This Row],[Average_weight_of_sediment+filter_paper]]-Data_filter_paper_weights[[#This Row],[Average_weight]]</f>
        <v>0.3777833333333333</v>
      </c>
    </row>
    <row r="269" spans="1:9" x14ac:dyDescent="0.3">
      <c r="A269" t="s">
        <v>397</v>
      </c>
      <c r="B269" s="4">
        <v>8.3500000000000005E-2</v>
      </c>
      <c r="C269" s="4">
        <v>8.3599999999999994E-2</v>
      </c>
      <c r="D269" s="4">
        <v>8.3699999999999997E-2</v>
      </c>
      <c r="E269" s="4">
        <f>AVERAGE(Data_filter_paper_weights[[#This Row],[Weight_1]:[Weight_3]])</f>
        <v>8.3600000000000008E-2</v>
      </c>
      <c r="F269" s="4">
        <v>0.17499999999999999</v>
      </c>
      <c r="G269" s="4">
        <v>0.17499999999999999</v>
      </c>
      <c r="H269" s="4">
        <f>AVERAGE(Data_filter_paper_weights[[#This Row],[Dry_weight_of_sediment+filter_paper_1]:[Dry_weight_of_sediment+filter_paper_2]])</f>
        <v>0.17499999999999999</v>
      </c>
      <c r="I269" s="4">
        <f>Data_filter_paper_weights[[#This Row],[Average_weight_of_sediment+filter_paper]]-Data_filter_paper_weights[[#This Row],[Average_weight]]</f>
        <v>9.1399999999999981E-2</v>
      </c>
    </row>
    <row r="270" spans="1:9" x14ac:dyDescent="0.3">
      <c r="A270" t="s">
        <v>398</v>
      </c>
      <c r="B270" s="4">
        <v>8.8599999999999998E-2</v>
      </c>
      <c r="C270" s="4">
        <v>8.8499999999999995E-2</v>
      </c>
      <c r="D270" s="4">
        <v>8.8400000000000006E-2</v>
      </c>
      <c r="E270" s="4">
        <f>AVERAGE(Data_filter_paper_weights[[#This Row],[Weight_1]:[Weight_3]])</f>
        <v>8.8499999999999981E-2</v>
      </c>
      <c r="F270" s="4">
        <v>0.18010000000000001</v>
      </c>
      <c r="G270" s="4">
        <v>0.1799</v>
      </c>
      <c r="H270" s="4">
        <f>AVERAGE(Data_filter_paper_weights[[#This Row],[Dry_weight_of_sediment+filter_paper_1]:[Dry_weight_of_sediment+filter_paper_2]])</f>
        <v>0.18</v>
      </c>
      <c r="I270" s="4">
        <f>Data_filter_paper_weights[[#This Row],[Average_weight_of_sediment+filter_paper]]-Data_filter_paper_weights[[#This Row],[Average_weight]]</f>
        <v>9.1500000000000012E-2</v>
      </c>
    </row>
    <row r="271" spans="1:9" x14ac:dyDescent="0.3">
      <c r="A271" t="s">
        <v>399</v>
      </c>
      <c r="B271" s="4">
        <v>8.77E-2</v>
      </c>
      <c r="C271" s="4">
        <v>8.7599999999999997E-2</v>
      </c>
      <c r="D271" s="4">
        <v>8.7400000000000005E-2</v>
      </c>
      <c r="E271" s="4">
        <f>AVERAGE(Data_filter_paper_weights[[#This Row],[Weight_1]:[Weight_3]])</f>
        <v>8.7566666666666682E-2</v>
      </c>
      <c r="F271" s="4">
        <v>0.1764</v>
      </c>
      <c r="G271" s="4">
        <v>0.17630000000000001</v>
      </c>
      <c r="H271" s="4">
        <f>AVERAGE(Data_filter_paper_weights[[#This Row],[Dry_weight_of_sediment+filter_paper_1]:[Dry_weight_of_sediment+filter_paper_2]])</f>
        <v>0.17635000000000001</v>
      </c>
      <c r="I271" s="4">
        <f>Data_filter_paper_weights[[#This Row],[Average_weight_of_sediment+filter_paper]]-Data_filter_paper_weights[[#This Row],[Average_weight]]</f>
        <v>8.8783333333333325E-2</v>
      </c>
    </row>
    <row r="272" spans="1:9" x14ac:dyDescent="0.3">
      <c r="A272" t="s">
        <v>400</v>
      </c>
      <c r="B272" s="4">
        <v>9.0899999999999995E-2</v>
      </c>
      <c r="C272" s="4">
        <v>9.0800000000000006E-2</v>
      </c>
      <c r="D272" s="4">
        <v>9.0999999999999998E-2</v>
      </c>
      <c r="E272" s="4">
        <f>AVERAGE(Data_filter_paper_weights[[#This Row],[Weight_1]:[Weight_3]])</f>
        <v>9.0899999999999995E-2</v>
      </c>
      <c r="F272" s="4">
        <v>0.14050000000000001</v>
      </c>
      <c r="G272" s="4">
        <v>0.14050000000000001</v>
      </c>
      <c r="H272" s="4">
        <f>AVERAGE(Data_filter_paper_weights[[#This Row],[Dry_weight_of_sediment+filter_paper_1]:[Dry_weight_of_sediment+filter_paper_2]])</f>
        <v>0.14050000000000001</v>
      </c>
      <c r="I272" s="4">
        <f>Data_filter_paper_weights[[#This Row],[Average_weight_of_sediment+filter_paper]]-Data_filter_paper_weights[[#This Row],[Average_weight]]</f>
        <v>4.9600000000000019E-2</v>
      </c>
    </row>
    <row r="273" spans="1:9" x14ac:dyDescent="0.3">
      <c r="A273" t="s">
        <v>401</v>
      </c>
      <c r="B273" s="4">
        <v>8.3900000000000002E-2</v>
      </c>
      <c r="C273" s="4">
        <v>8.4000000000000005E-2</v>
      </c>
      <c r="D273" s="4">
        <v>8.4000000000000005E-2</v>
      </c>
      <c r="E273" s="4">
        <f>AVERAGE(Data_filter_paper_weights[[#This Row],[Weight_1]:[Weight_3]])</f>
        <v>8.3966666666666676E-2</v>
      </c>
      <c r="F273" s="4">
        <v>0.46179999999999999</v>
      </c>
      <c r="G273" s="4">
        <v>0.4617</v>
      </c>
      <c r="H273" s="4">
        <f>AVERAGE(Data_filter_paper_weights[[#This Row],[Dry_weight_of_sediment+filter_paper_1]:[Dry_weight_of_sediment+filter_paper_2]])</f>
        <v>0.46174999999999999</v>
      </c>
      <c r="I273" s="4">
        <f>Data_filter_paper_weights[[#This Row],[Average_weight_of_sediment+filter_paper]]-Data_filter_paper_weights[[#This Row],[Average_weight]]</f>
        <v>0.3777833333333333</v>
      </c>
    </row>
    <row r="274" spans="1:9" x14ac:dyDescent="0.3">
      <c r="A274" t="s">
        <v>402</v>
      </c>
      <c r="B274" s="4">
        <v>8.3500000000000005E-2</v>
      </c>
      <c r="C274" s="4">
        <v>8.3599999999999994E-2</v>
      </c>
      <c r="D274" s="4">
        <v>8.3699999999999997E-2</v>
      </c>
      <c r="E274" s="4">
        <f>AVERAGE(Data_filter_paper_weights[[#This Row],[Weight_1]:[Weight_3]])</f>
        <v>8.3600000000000008E-2</v>
      </c>
      <c r="F274" s="4"/>
      <c r="G274" s="4"/>
      <c r="H274" s="4"/>
      <c r="I274" s="4"/>
    </row>
    <row r="275" spans="1:9" x14ac:dyDescent="0.3">
      <c r="A275" t="s">
        <v>403</v>
      </c>
      <c r="B275" s="4">
        <v>8.4500000000000006E-2</v>
      </c>
      <c r="C275" s="4">
        <v>8.4500000000000006E-2</v>
      </c>
      <c r="D275" s="4">
        <v>8.4500000000000006E-2</v>
      </c>
      <c r="E275" s="4">
        <f>AVERAGE(Data_filter_paper_weights[[#This Row],[Weight_1]:[Weight_3]])</f>
        <v>8.4500000000000006E-2</v>
      </c>
      <c r="F275" s="4">
        <v>0.1338</v>
      </c>
      <c r="G275" s="4">
        <v>0.13370000000000001</v>
      </c>
      <c r="H275" s="4">
        <f>AVERAGE(Data_filter_paper_weights[[#This Row],[Dry_weight_of_sediment+filter_paper_1]:[Dry_weight_of_sediment+filter_paper_2]])</f>
        <v>0.13375000000000001</v>
      </c>
      <c r="I275" s="4">
        <f>Data_filter_paper_weights[[#This Row],[Average_weight_of_sediment+filter_paper]]-Data_filter_paper_weights[[#This Row],[Average_weight]]</f>
        <v>4.9250000000000002E-2</v>
      </c>
    </row>
    <row r="276" spans="1:9" x14ac:dyDescent="0.3">
      <c r="A276" t="s">
        <v>404</v>
      </c>
      <c r="B276" s="4">
        <v>9.0800000000000006E-2</v>
      </c>
      <c r="C276" s="4">
        <v>9.0700000000000003E-2</v>
      </c>
      <c r="D276" s="4">
        <v>9.06E-2</v>
      </c>
      <c r="E276" s="4">
        <f>AVERAGE(Data_filter_paper_weights[[#This Row],[Weight_1]:[Weight_3]])</f>
        <v>9.0700000000000003E-2</v>
      </c>
      <c r="F276" s="4">
        <v>0.1268</v>
      </c>
      <c r="G276" s="4">
        <v>0.1268</v>
      </c>
      <c r="H276" s="4">
        <f>AVERAGE(Data_filter_paper_weights[[#This Row],[Dry_weight_of_sediment+filter_paper_1]:[Dry_weight_of_sediment+filter_paper_2]])</f>
        <v>0.1268</v>
      </c>
      <c r="I276" s="4">
        <f>Data_filter_paper_weights[[#This Row],[Average_weight_of_sediment+filter_paper]]-Data_filter_paper_weights[[#This Row],[Average_weight]]</f>
        <v>3.6099999999999993E-2</v>
      </c>
    </row>
    <row r="277" spans="1:9" x14ac:dyDescent="0.3">
      <c r="A277" t="s">
        <v>405</v>
      </c>
      <c r="B277" s="4">
        <v>9.0899999999999995E-2</v>
      </c>
      <c r="C277" s="4">
        <v>9.0800000000000006E-2</v>
      </c>
      <c r="D277" s="4">
        <v>9.0999999999999998E-2</v>
      </c>
      <c r="E277" s="4">
        <f>AVERAGE(Data_filter_paper_weights[[#This Row],[Weight_1]:[Weight_3]])</f>
        <v>9.0899999999999995E-2</v>
      </c>
      <c r="F277" s="4">
        <v>0.1691</v>
      </c>
      <c r="G277" s="4">
        <v>0.16889999999999999</v>
      </c>
      <c r="H277" s="4">
        <f>AVERAGE(Data_filter_paper_weights[[#This Row],[Dry_weight_of_sediment+filter_paper_1]:[Dry_weight_of_sediment+filter_paper_2]])</f>
        <v>0.16899999999999998</v>
      </c>
      <c r="I277" s="4">
        <f>Data_filter_paper_weights[[#This Row],[Average_weight_of_sediment+filter_paper]]-Data_filter_paper_weights[[#This Row],[Average_weight]]</f>
        <v>7.8099999999999989E-2</v>
      </c>
    </row>
    <row r="278" spans="1:9" x14ac:dyDescent="0.3">
      <c r="A278" t="s">
        <v>406</v>
      </c>
      <c r="B278" s="4">
        <v>8.3500000000000005E-2</v>
      </c>
      <c r="C278" s="4">
        <v>8.3599999999999994E-2</v>
      </c>
      <c r="D278" s="4">
        <v>8.3699999999999997E-2</v>
      </c>
      <c r="E278" s="4">
        <f>AVERAGE(Data_filter_paper_weights[[#This Row],[Weight_1]:[Weight_3]])</f>
        <v>8.3600000000000008E-2</v>
      </c>
      <c r="F278" s="4">
        <v>0.13589999999999999</v>
      </c>
      <c r="G278" s="4">
        <v>0.13600000000000001</v>
      </c>
      <c r="H278" s="4">
        <f>AVERAGE(Data_filter_paper_weights[[#This Row],[Dry_weight_of_sediment+filter_paper_1]:[Dry_weight_of_sediment+filter_paper_2]])</f>
        <v>0.13595000000000002</v>
      </c>
      <c r="I278" s="4">
        <f>Data_filter_paper_weights[[#This Row],[Average_weight_of_sediment+filter_paper]]-Data_filter_paper_weights[[#This Row],[Average_weight]]</f>
        <v>5.2350000000000008E-2</v>
      </c>
    </row>
    <row r="279" spans="1:9" x14ac:dyDescent="0.3">
      <c r="A279" t="s">
        <v>407</v>
      </c>
      <c r="B279" s="4">
        <v>8.4500000000000006E-2</v>
      </c>
      <c r="C279" s="4">
        <v>8.4500000000000006E-2</v>
      </c>
      <c r="D279" s="4">
        <v>8.4500000000000006E-2</v>
      </c>
      <c r="E279" s="4">
        <f>AVERAGE(Data_filter_paper_weights[[#This Row],[Weight_1]:[Weight_3]])</f>
        <v>8.4500000000000006E-2</v>
      </c>
      <c r="F279" s="4">
        <v>0.1338</v>
      </c>
      <c r="G279" s="4">
        <v>0.13370000000000001</v>
      </c>
      <c r="H279" s="4">
        <f>AVERAGE(Data_filter_paper_weights[[#This Row],[Dry_weight_of_sediment+filter_paper_1]:[Dry_weight_of_sediment+filter_paper_2]])</f>
        <v>0.13375000000000001</v>
      </c>
      <c r="I279" s="4">
        <f>Data_filter_paper_weights[[#This Row],[Average_weight_of_sediment+filter_paper]]-Data_filter_paper_weights[[#This Row],[Average_weight]]</f>
        <v>4.9250000000000002E-2</v>
      </c>
    </row>
    <row r="280" spans="1:9" x14ac:dyDescent="0.3">
      <c r="A280" t="s">
        <v>408</v>
      </c>
      <c r="B280" s="4">
        <v>8.77E-2</v>
      </c>
      <c r="C280" s="4">
        <v>8.7599999999999997E-2</v>
      </c>
      <c r="D280" s="4">
        <v>8.7400000000000005E-2</v>
      </c>
      <c r="E280" s="4">
        <f>AVERAGE(Data_filter_paper_weights[[#This Row],[Weight_1]:[Weight_3]])</f>
        <v>8.7566666666666682E-2</v>
      </c>
      <c r="F280" s="4">
        <v>0.1764</v>
      </c>
      <c r="G280" s="4">
        <v>0.17630000000000001</v>
      </c>
      <c r="H280" s="4">
        <f>AVERAGE(Data_filter_paper_weights[[#This Row],[Dry_weight_of_sediment+filter_paper_1]:[Dry_weight_of_sediment+filter_paper_2]])</f>
        <v>0.17635000000000001</v>
      </c>
      <c r="I280" s="4">
        <f>Data_filter_paper_weights[[#This Row],[Average_weight_of_sediment+filter_paper]]-Data_filter_paper_weights[[#This Row],[Average_weight]]</f>
        <v>8.8783333333333325E-2</v>
      </c>
    </row>
    <row r="281" spans="1:9" x14ac:dyDescent="0.3">
      <c r="A281" t="s">
        <v>409</v>
      </c>
      <c r="B281" s="4">
        <v>9.0899999999999995E-2</v>
      </c>
      <c r="C281" s="4">
        <v>9.0800000000000006E-2</v>
      </c>
      <c r="D281" s="4">
        <v>9.0999999999999998E-2</v>
      </c>
      <c r="E281" s="4">
        <f>AVERAGE(Data_filter_paper_weights[[#This Row],[Weight_1]:[Weight_3]])</f>
        <v>9.0899999999999995E-2</v>
      </c>
      <c r="F281" s="4">
        <v>0.14050000000000001</v>
      </c>
      <c r="G281" s="4">
        <v>0.14050000000000001</v>
      </c>
      <c r="H281" s="4">
        <f>AVERAGE(Data_filter_paper_weights[[#This Row],[Dry_weight_of_sediment+filter_paper_1]:[Dry_weight_of_sediment+filter_paper_2]])</f>
        <v>0.14050000000000001</v>
      </c>
      <c r="I281" s="4">
        <f>Data_filter_paper_weights[[#This Row],[Average_weight_of_sediment+filter_paper]]-Data_filter_paper_weights[[#This Row],[Average_weight]]</f>
        <v>4.9600000000000019E-2</v>
      </c>
    </row>
    <row r="282" spans="1:9" x14ac:dyDescent="0.3">
      <c r="A282" t="s">
        <v>410</v>
      </c>
      <c r="B282" s="4">
        <v>8.3900000000000002E-2</v>
      </c>
      <c r="C282" s="4">
        <v>8.4000000000000005E-2</v>
      </c>
      <c r="D282" s="4">
        <v>8.4000000000000005E-2</v>
      </c>
      <c r="E282" s="4">
        <f>AVERAGE(Data_filter_paper_weights[[#This Row],[Weight_1]:[Weight_3]])</f>
        <v>8.3966666666666676E-2</v>
      </c>
      <c r="F282" s="4">
        <v>0.46179999999999999</v>
      </c>
      <c r="G282" s="4">
        <v>0.4617</v>
      </c>
      <c r="H282" s="4">
        <f>AVERAGE(Data_filter_paper_weights[[#This Row],[Dry_weight_of_sediment+filter_paper_1]:[Dry_weight_of_sediment+filter_paper_2]])</f>
        <v>0.46174999999999999</v>
      </c>
      <c r="I282" s="4">
        <f>Data_filter_paper_weights[[#This Row],[Average_weight_of_sediment+filter_paper]]-Data_filter_paper_weights[[#This Row],[Average_weight]]</f>
        <v>0.3777833333333333</v>
      </c>
    </row>
    <row r="283" spans="1:9" x14ac:dyDescent="0.3">
      <c r="A283" t="s">
        <v>411</v>
      </c>
      <c r="B283" s="4">
        <v>8.3500000000000005E-2</v>
      </c>
      <c r="C283" s="4">
        <v>8.3599999999999994E-2</v>
      </c>
      <c r="D283" s="4">
        <v>8.3699999999999997E-2</v>
      </c>
      <c r="E283" s="4">
        <f>AVERAGE(Data_filter_paper_weights[[#This Row],[Weight_1]:[Weight_3]])</f>
        <v>8.3600000000000008E-2</v>
      </c>
      <c r="F283" s="4">
        <v>0.17499999999999999</v>
      </c>
      <c r="G283" s="4">
        <v>0.17499999999999999</v>
      </c>
      <c r="H283" s="4">
        <f>AVERAGE(Data_filter_paper_weights[[#This Row],[Dry_weight_of_sediment+filter_paper_1]:[Dry_weight_of_sediment+filter_paper_2]])</f>
        <v>0.17499999999999999</v>
      </c>
      <c r="I283" s="4">
        <f>Data_filter_paper_weights[[#This Row],[Average_weight_of_sediment+filter_paper]]-Data_filter_paper_weights[[#This Row],[Average_weight]]</f>
        <v>9.1399999999999981E-2</v>
      </c>
    </row>
    <row r="284" spans="1:9" x14ac:dyDescent="0.3">
      <c r="A284" t="s">
        <v>412</v>
      </c>
      <c r="B284" s="4">
        <v>8.8599999999999998E-2</v>
      </c>
      <c r="C284" s="4">
        <v>8.8499999999999995E-2</v>
      </c>
      <c r="D284" s="4">
        <v>8.8400000000000006E-2</v>
      </c>
      <c r="E284" s="4">
        <f>AVERAGE(Data_filter_paper_weights[[#This Row],[Weight_1]:[Weight_3]])</f>
        <v>8.8499999999999981E-2</v>
      </c>
      <c r="F284" s="4">
        <v>0.18010000000000001</v>
      </c>
      <c r="G284" s="4">
        <v>0.1799</v>
      </c>
      <c r="H284" s="4">
        <f>AVERAGE(Data_filter_paper_weights[[#This Row],[Dry_weight_of_sediment+filter_paper_1]:[Dry_weight_of_sediment+filter_paper_2]])</f>
        <v>0.18</v>
      </c>
      <c r="I284" s="4">
        <f>Data_filter_paper_weights[[#This Row],[Average_weight_of_sediment+filter_paper]]-Data_filter_paper_weights[[#This Row],[Average_weight]]</f>
        <v>9.1500000000000012E-2</v>
      </c>
    </row>
    <row r="285" spans="1:9" x14ac:dyDescent="0.3">
      <c r="A285" t="s">
        <v>413</v>
      </c>
      <c r="B285" s="4">
        <v>8.77E-2</v>
      </c>
      <c r="C285" s="4">
        <v>8.7599999999999997E-2</v>
      </c>
      <c r="D285" s="4">
        <v>8.7400000000000005E-2</v>
      </c>
      <c r="E285" s="4">
        <f>AVERAGE(Data_filter_paper_weights[[#This Row],[Weight_1]:[Weight_3]])</f>
        <v>8.7566666666666682E-2</v>
      </c>
      <c r="F285" s="4">
        <v>0.1764</v>
      </c>
      <c r="G285" s="4">
        <v>0.17630000000000001</v>
      </c>
      <c r="H285" s="4">
        <f>AVERAGE(Data_filter_paper_weights[[#This Row],[Dry_weight_of_sediment+filter_paper_1]:[Dry_weight_of_sediment+filter_paper_2]])</f>
        <v>0.17635000000000001</v>
      </c>
      <c r="I285" s="4">
        <f>Data_filter_paper_weights[[#This Row],[Average_weight_of_sediment+filter_paper]]-Data_filter_paper_weights[[#This Row],[Average_weight]]</f>
        <v>8.8783333333333325E-2</v>
      </c>
    </row>
    <row r="286" spans="1:9" x14ac:dyDescent="0.3">
      <c r="A286" t="s">
        <v>414</v>
      </c>
      <c r="B286" s="4">
        <v>9.0899999999999995E-2</v>
      </c>
      <c r="C286" s="4">
        <v>9.0800000000000006E-2</v>
      </c>
      <c r="D286" s="4">
        <v>9.0999999999999998E-2</v>
      </c>
      <c r="E286" s="4">
        <f>AVERAGE(Data_filter_paper_weights[[#This Row],[Weight_1]:[Weight_3]])</f>
        <v>9.0899999999999995E-2</v>
      </c>
      <c r="F286" s="4">
        <v>0.14050000000000001</v>
      </c>
      <c r="G286" s="4">
        <v>0.14050000000000001</v>
      </c>
      <c r="H286" s="4">
        <f>AVERAGE(Data_filter_paper_weights[[#This Row],[Dry_weight_of_sediment+filter_paper_1]:[Dry_weight_of_sediment+filter_paper_2]])</f>
        <v>0.14050000000000001</v>
      </c>
      <c r="I286" s="4">
        <f>Data_filter_paper_weights[[#This Row],[Average_weight_of_sediment+filter_paper]]-Data_filter_paper_weights[[#This Row],[Average_weight]]</f>
        <v>4.9600000000000019E-2</v>
      </c>
    </row>
    <row r="287" spans="1:9" x14ac:dyDescent="0.3">
      <c r="A287" t="s">
        <v>415</v>
      </c>
      <c r="B287" s="4">
        <v>8.77E-2</v>
      </c>
      <c r="C287" s="4">
        <v>8.7599999999999997E-2</v>
      </c>
      <c r="D287" s="4">
        <v>8.7400000000000005E-2</v>
      </c>
      <c r="E287" s="4">
        <f>AVERAGE(Data_filter_paper_weights[[#This Row],[Weight_1]:[Weight_3]])</f>
        <v>8.7566666666666682E-2</v>
      </c>
      <c r="F287" s="4">
        <v>0.1764</v>
      </c>
      <c r="G287" s="4">
        <v>0.17630000000000001</v>
      </c>
      <c r="H287" s="4">
        <f>AVERAGE(Data_filter_paper_weights[[#This Row],[Dry_weight_of_sediment+filter_paper_1]:[Dry_weight_of_sediment+filter_paper_2]])</f>
        <v>0.17635000000000001</v>
      </c>
      <c r="I287" s="4">
        <f>Data_filter_paper_weights[[#This Row],[Average_weight_of_sediment+filter_paper]]-Data_filter_paper_weights[[#This Row],[Average_weight]]</f>
        <v>8.8783333333333325E-2</v>
      </c>
    </row>
    <row r="288" spans="1:9" x14ac:dyDescent="0.3">
      <c r="A288" t="s">
        <v>416</v>
      </c>
      <c r="B288" s="4">
        <v>9.0899999999999995E-2</v>
      </c>
      <c r="C288" s="4">
        <v>9.0800000000000006E-2</v>
      </c>
      <c r="D288" s="4">
        <v>9.0999999999999998E-2</v>
      </c>
      <c r="E288" s="4">
        <f>AVERAGE(Data_filter_paper_weights[[#This Row],[Weight_1]:[Weight_3]])</f>
        <v>9.0899999999999995E-2</v>
      </c>
      <c r="F288" s="4">
        <v>0.14050000000000001</v>
      </c>
      <c r="G288" s="4">
        <v>0.14050000000000001</v>
      </c>
      <c r="H288" s="4">
        <f>AVERAGE(Data_filter_paper_weights[[#This Row],[Dry_weight_of_sediment+filter_paper_1]:[Dry_weight_of_sediment+filter_paper_2]])</f>
        <v>0.14050000000000001</v>
      </c>
      <c r="I288" s="4">
        <f>Data_filter_paper_weights[[#This Row],[Average_weight_of_sediment+filter_paper]]-Data_filter_paper_weights[[#This Row],[Average_weight]]</f>
        <v>4.9600000000000019E-2</v>
      </c>
    </row>
    <row r="289" spans="1:10" x14ac:dyDescent="0.3">
      <c r="A289" t="s">
        <v>417</v>
      </c>
      <c r="B289" s="4">
        <v>8.3900000000000002E-2</v>
      </c>
      <c r="C289" s="4">
        <v>8.4000000000000005E-2</v>
      </c>
      <c r="D289" s="4">
        <v>8.4000000000000005E-2</v>
      </c>
      <c r="E289" s="4">
        <f>AVERAGE(Data_filter_paper_weights[[#This Row],[Weight_1]:[Weight_3]])</f>
        <v>8.3966666666666676E-2</v>
      </c>
      <c r="F289" s="4">
        <v>0.46179999999999999</v>
      </c>
      <c r="G289" s="4">
        <v>0.4617</v>
      </c>
      <c r="H289" s="4">
        <f>AVERAGE(Data_filter_paper_weights[[#This Row],[Dry_weight_of_sediment+filter_paper_1]:[Dry_weight_of_sediment+filter_paper_2]])</f>
        <v>0.46174999999999999</v>
      </c>
      <c r="I289" s="4">
        <f>Data_filter_paper_weights[[#This Row],[Average_weight_of_sediment+filter_paper]]-Data_filter_paper_weights[[#This Row],[Average_weight]]</f>
        <v>0.3777833333333333</v>
      </c>
    </row>
    <row r="290" spans="1:10" x14ac:dyDescent="0.3">
      <c r="A290" t="s">
        <v>418</v>
      </c>
      <c r="B290" s="4">
        <v>8.3500000000000005E-2</v>
      </c>
      <c r="C290" s="4">
        <v>8.3599999999999994E-2</v>
      </c>
      <c r="D290" s="4">
        <v>8.3699999999999997E-2</v>
      </c>
      <c r="E290" s="4">
        <f>AVERAGE(Data_filter_paper_weights[[#This Row],[Weight_1]:[Weight_3]])</f>
        <v>8.3600000000000008E-2</v>
      </c>
      <c r="F290" s="4">
        <v>0.17499999999999999</v>
      </c>
      <c r="G290" s="4">
        <v>0.17499999999999999</v>
      </c>
      <c r="H290" s="4">
        <f>AVERAGE(Data_filter_paper_weights[[#This Row],[Dry_weight_of_sediment+filter_paper_1]:[Dry_weight_of_sediment+filter_paper_2]])</f>
        <v>0.17499999999999999</v>
      </c>
      <c r="I290" s="4">
        <f>Data_filter_paper_weights[[#This Row],[Average_weight_of_sediment+filter_paper]]-Data_filter_paper_weights[[#This Row],[Average_weight]]</f>
        <v>9.1399999999999981E-2</v>
      </c>
    </row>
    <row r="291" spans="1:10" x14ac:dyDescent="0.3">
      <c r="A291" t="s">
        <v>419</v>
      </c>
      <c r="B291" s="4">
        <v>8.8599999999999998E-2</v>
      </c>
      <c r="C291" s="4">
        <v>8.8499999999999995E-2</v>
      </c>
      <c r="D291" s="4">
        <v>8.8400000000000006E-2</v>
      </c>
      <c r="E291" s="4">
        <f>AVERAGE(Data_filter_paper_weights[[#This Row],[Weight_1]:[Weight_3]])</f>
        <v>8.8499999999999981E-2</v>
      </c>
      <c r="F291" s="4">
        <v>0.18010000000000001</v>
      </c>
      <c r="G291" s="4">
        <v>0.1799</v>
      </c>
      <c r="H291" s="4">
        <f>AVERAGE(Data_filter_paper_weights[[#This Row],[Dry_weight_of_sediment+filter_paper_1]:[Dry_weight_of_sediment+filter_paper_2]])</f>
        <v>0.18</v>
      </c>
      <c r="I291" s="4">
        <f>Data_filter_paper_weights[[#This Row],[Average_weight_of_sediment+filter_paper]]-Data_filter_paper_weights[[#This Row],[Average_weight]]</f>
        <v>9.1500000000000012E-2</v>
      </c>
    </row>
    <row r="292" spans="1:10" x14ac:dyDescent="0.3">
      <c r="A292" t="s">
        <v>420</v>
      </c>
      <c r="B292" s="4">
        <v>8.77E-2</v>
      </c>
      <c r="C292" s="4">
        <v>8.7599999999999997E-2</v>
      </c>
      <c r="D292" s="4">
        <v>8.7400000000000005E-2</v>
      </c>
      <c r="E292" s="4">
        <f>AVERAGE(Data_filter_paper_weights[[#This Row],[Weight_1]:[Weight_3]])</f>
        <v>8.7566666666666682E-2</v>
      </c>
      <c r="F292" s="4">
        <v>0.1764</v>
      </c>
      <c r="G292" s="4">
        <v>0.17630000000000001</v>
      </c>
      <c r="H292" s="4">
        <f>AVERAGE(Data_filter_paper_weights[[#This Row],[Dry_weight_of_sediment+filter_paper_1]:[Dry_weight_of_sediment+filter_paper_2]])</f>
        <v>0.17635000000000001</v>
      </c>
      <c r="I292" s="4">
        <f>Data_filter_paper_weights[[#This Row],[Average_weight_of_sediment+filter_paper]]-Data_filter_paper_weights[[#This Row],[Average_weight]]</f>
        <v>8.8783333333333325E-2</v>
      </c>
    </row>
    <row r="293" spans="1:10" x14ac:dyDescent="0.3">
      <c r="A293" t="s">
        <v>421</v>
      </c>
      <c r="B293" s="4">
        <v>9.0899999999999995E-2</v>
      </c>
      <c r="C293" s="4">
        <v>9.0800000000000006E-2</v>
      </c>
      <c r="D293" s="4">
        <v>9.0999999999999998E-2</v>
      </c>
      <c r="E293" s="4">
        <f>AVERAGE(Data_filter_paper_weights[[#This Row],[Weight_1]:[Weight_3]])</f>
        <v>9.0899999999999995E-2</v>
      </c>
      <c r="F293" s="4">
        <v>0.14050000000000001</v>
      </c>
      <c r="G293" s="4">
        <v>0.14050000000000001</v>
      </c>
      <c r="H293" s="4">
        <f>AVERAGE(Data_filter_paper_weights[[#This Row],[Dry_weight_of_sediment+filter_paper_1]:[Dry_weight_of_sediment+filter_paper_2]])</f>
        <v>0.14050000000000001</v>
      </c>
      <c r="I293" s="4">
        <f>Data_filter_paper_weights[[#This Row],[Average_weight_of_sediment+filter_paper]]-Data_filter_paper_weights[[#This Row],[Average_weight]]</f>
        <v>4.9600000000000019E-2</v>
      </c>
    </row>
    <row r="294" spans="1:10" x14ac:dyDescent="0.3">
      <c r="A294" t="s">
        <v>422</v>
      </c>
      <c r="B294" s="4">
        <v>8.3900000000000002E-2</v>
      </c>
      <c r="C294" s="4">
        <v>8.4000000000000005E-2</v>
      </c>
      <c r="D294" s="4">
        <v>8.4000000000000005E-2</v>
      </c>
      <c r="E294" s="4">
        <f>AVERAGE(Data_filter_paper_weights[[#This Row],[Weight_1]:[Weight_3]])</f>
        <v>8.3966666666666676E-2</v>
      </c>
      <c r="F294" s="4">
        <v>0.46179999999999999</v>
      </c>
      <c r="G294" s="4">
        <v>0.4617</v>
      </c>
      <c r="H294" s="4">
        <f>AVERAGE(Data_filter_paper_weights[[#This Row],[Dry_weight_of_sediment+filter_paper_1]:[Dry_weight_of_sediment+filter_paper_2]])</f>
        <v>0.46174999999999999</v>
      </c>
      <c r="I294" s="4">
        <f>Data_filter_paper_weights[[#This Row],[Average_weight_of_sediment+filter_paper]]-Data_filter_paper_weights[[#This Row],[Average_weight]]</f>
        <v>0.3777833333333333</v>
      </c>
    </row>
    <row r="295" spans="1:10" x14ac:dyDescent="0.3">
      <c r="A295" t="s">
        <v>423</v>
      </c>
      <c r="B295" s="4">
        <v>8.3500000000000005E-2</v>
      </c>
      <c r="C295" s="4">
        <v>8.3599999999999994E-2</v>
      </c>
      <c r="D295" s="4">
        <v>8.3699999999999997E-2</v>
      </c>
      <c r="E295" s="4">
        <f>AVERAGE(Data_filter_paper_weights[[#This Row],[Weight_1]:[Weight_3]])</f>
        <v>8.3600000000000008E-2</v>
      </c>
      <c r="F295" s="4">
        <v>0.17499999999999999</v>
      </c>
      <c r="G295" s="4">
        <v>0.17499999999999999</v>
      </c>
      <c r="H295" s="4">
        <f>AVERAGE(Data_filter_paper_weights[[#This Row],[Dry_weight_of_sediment+filter_paper_1]:[Dry_weight_of_sediment+filter_paper_2]])</f>
        <v>0.17499999999999999</v>
      </c>
      <c r="I295" s="4">
        <f>Data_filter_paper_weights[[#This Row],[Average_weight_of_sediment+filter_paper]]-Data_filter_paper_weights[[#This Row],[Average_weight]]</f>
        <v>9.1399999999999981E-2</v>
      </c>
    </row>
    <row r="296" spans="1:10" x14ac:dyDescent="0.3">
      <c r="A296" t="s">
        <v>424</v>
      </c>
      <c r="B296" s="4">
        <v>8.8599999999999998E-2</v>
      </c>
      <c r="C296" s="4">
        <v>8.8499999999999995E-2</v>
      </c>
      <c r="D296" s="4">
        <v>8.8400000000000006E-2</v>
      </c>
      <c r="E296" s="4">
        <f>AVERAGE(Data_filter_paper_weights[[#This Row],[Weight_1]:[Weight_3]])</f>
        <v>8.8499999999999981E-2</v>
      </c>
      <c r="F296" s="4">
        <v>0.18010000000000001</v>
      </c>
      <c r="G296" s="4">
        <v>0.1799</v>
      </c>
      <c r="H296" s="4">
        <f>AVERAGE(Data_filter_paper_weights[[#This Row],[Dry_weight_of_sediment+filter_paper_1]:[Dry_weight_of_sediment+filter_paper_2]])</f>
        <v>0.18</v>
      </c>
      <c r="I296" s="4">
        <f>Data_filter_paper_weights[[#This Row],[Average_weight_of_sediment+filter_paper]]-Data_filter_paper_weights[[#This Row],[Average_weight]]</f>
        <v>9.1500000000000012E-2</v>
      </c>
    </row>
    <row r="297" spans="1:10" x14ac:dyDescent="0.3">
      <c r="A297" t="s">
        <v>425</v>
      </c>
      <c r="B297" s="4">
        <v>8.3500000000000005E-2</v>
      </c>
      <c r="C297" s="4">
        <v>8.3599999999999994E-2</v>
      </c>
      <c r="D297" s="4">
        <v>8.3699999999999997E-2</v>
      </c>
      <c r="E297" s="4">
        <f>AVERAGE(Data_filter_paper_weights[[#This Row],[Weight_1]:[Weight_3]])</f>
        <v>8.3600000000000008E-2</v>
      </c>
      <c r="F297" s="4">
        <v>0.13589999999999999</v>
      </c>
      <c r="G297" s="4">
        <v>0.13600000000000001</v>
      </c>
      <c r="H297" s="4">
        <f>AVERAGE(Data_filter_paper_weights[[#This Row],[Dry_weight_of_sediment+filter_paper_1]:[Dry_weight_of_sediment+filter_paper_2]])</f>
        <v>0.13595000000000002</v>
      </c>
      <c r="I297" s="4">
        <f>Data_filter_paper_weights[[#This Row],[Average_weight_of_sediment+filter_paper]]-Data_filter_paper_weights[[#This Row],[Average_weight]]</f>
        <v>5.2350000000000008E-2</v>
      </c>
    </row>
    <row r="298" spans="1:10" x14ac:dyDescent="0.3">
      <c r="A298" t="s">
        <v>426</v>
      </c>
      <c r="B298" s="4">
        <v>8.4500000000000006E-2</v>
      </c>
      <c r="C298" s="4">
        <v>8.4500000000000006E-2</v>
      </c>
      <c r="D298" s="4">
        <v>8.4500000000000006E-2</v>
      </c>
      <c r="E298" s="4">
        <f>AVERAGE(Data_filter_paper_weights[[#This Row],[Weight_1]:[Weight_3]])</f>
        <v>8.4500000000000006E-2</v>
      </c>
      <c r="F298" s="4">
        <v>0.1338</v>
      </c>
      <c r="G298" s="4">
        <v>0.13370000000000001</v>
      </c>
      <c r="H298" s="4">
        <f>AVERAGE(Data_filter_paper_weights[[#This Row],[Dry_weight_of_sediment+filter_paper_1]:[Dry_weight_of_sediment+filter_paper_2]])</f>
        <v>0.13375000000000001</v>
      </c>
      <c r="I298" s="4">
        <f>Data_filter_paper_weights[[#This Row],[Average_weight_of_sediment+filter_paper]]-Data_filter_paper_weights[[#This Row],[Average_weight]]</f>
        <v>4.9250000000000002E-2</v>
      </c>
    </row>
    <row r="299" spans="1:10" x14ac:dyDescent="0.3">
      <c r="A299" t="s">
        <v>427</v>
      </c>
      <c r="B299" s="4">
        <v>9.0800000000000006E-2</v>
      </c>
      <c r="C299" s="4">
        <v>9.0700000000000003E-2</v>
      </c>
      <c r="D299" s="4">
        <v>9.06E-2</v>
      </c>
      <c r="E299" s="4">
        <f>AVERAGE(Data_filter_paper_weights[[#This Row],[Weight_1]:[Weight_3]])</f>
        <v>9.0700000000000003E-2</v>
      </c>
      <c r="F299" s="4">
        <v>0.1268</v>
      </c>
      <c r="G299" s="4">
        <v>0.1268</v>
      </c>
      <c r="H299" s="4">
        <f>AVERAGE(Data_filter_paper_weights[[#This Row],[Dry_weight_of_sediment+filter_paper_1]:[Dry_weight_of_sediment+filter_paper_2]])</f>
        <v>0.1268</v>
      </c>
      <c r="I299" s="4">
        <f>Data_filter_paper_weights[[#This Row],[Average_weight_of_sediment+filter_paper]]-Data_filter_paper_weights[[#This Row],[Average_weight]]</f>
        <v>3.6099999999999993E-2</v>
      </c>
    </row>
    <row r="300" spans="1:10" x14ac:dyDescent="0.3">
      <c r="A300" t="s">
        <v>428</v>
      </c>
      <c r="B300" s="4">
        <v>9.0899999999999995E-2</v>
      </c>
      <c r="C300" s="4">
        <v>9.0800000000000006E-2</v>
      </c>
      <c r="D300" s="4">
        <v>9.0999999999999998E-2</v>
      </c>
      <c r="E300" s="4">
        <f>AVERAGE(Data_filter_paper_weights[[#This Row],[Weight_1]:[Weight_3]])</f>
        <v>9.0899999999999995E-2</v>
      </c>
      <c r="F300" s="4"/>
      <c r="G300" s="4"/>
      <c r="H300" s="4"/>
      <c r="I300" s="4"/>
    </row>
    <row r="301" spans="1:10" x14ac:dyDescent="0.3">
      <c r="A301" t="s">
        <v>429</v>
      </c>
      <c r="B301" s="4">
        <v>8.3500000000000005E-2</v>
      </c>
      <c r="C301" s="4">
        <v>8.3599999999999994E-2</v>
      </c>
      <c r="D301" s="4">
        <v>8.3699999999999997E-2</v>
      </c>
      <c r="E301" s="4">
        <f>AVERAGE(Data_filter_paper_weights[[#This Row],[Weight_1]:[Weight_3]])</f>
        <v>8.3600000000000008E-2</v>
      </c>
      <c r="F301" s="4">
        <v>0.13589999999999999</v>
      </c>
      <c r="G301" s="4">
        <v>0.13600000000000001</v>
      </c>
      <c r="H301" s="4">
        <f>AVERAGE(Data_filter_paper_weights[[#This Row],[Dry_weight_of_sediment+filter_paper_1]:[Dry_weight_of_sediment+filter_paper_2]])</f>
        <v>0.13595000000000002</v>
      </c>
      <c r="I301" s="4">
        <f>Data_filter_paper_weights[[#This Row],[Average_weight_of_sediment+filter_paper]]-Data_filter_paper_weights[[#This Row],[Average_weight]]</f>
        <v>5.2350000000000008E-2</v>
      </c>
    </row>
    <row r="302" spans="1:10" x14ac:dyDescent="0.3">
      <c r="A302" t="s">
        <v>430</v>
      </c>
      <c r="B302" s="4">
        <v>8.4500000000000006E-2</v>
      </c>
      <c r="C302" s="4">
        <v>8.4500000000000006E-2</v>
      </c>
      <c r="D302" s="4">
        <v>8.4500000000000006E-2</v>
      </c>
      <c r="E302" s="4">
        <f>AVERAGE(Data_filter_paper_weights[[#This Row],[Weight_1]:[Weight_3]])</f>
        <v>8.4500000000000006E-2</v>
      </c>
      <c r="F302" s="4">
        <v>0.1338</v>
      </c>
      <c r="G302" s="4">
        <v>0.13370000000000001</v>
      </c>
      <c r="H302" s="4">
        <f>AVERAGE(Data_filter_paper_weights[[#This Row],[Dry_weight_of_sediment+filter_paper_1]:[Dry_weight_of_sediment+filter_paper_2]])</f>
        <v>0.13375000000000001</v>
      </c>
      <c r="I302" s="4">
        <f>Data_filter_paper_weights[[#This Row],[Average_weight_of_sediment+filter_paper]]-Data_filter_paper_weights[[#This Row],[Average_weight]]</f>
        <v>4.9250000000000002E-2</v>
      </c>
    </row>
    <row r="303" spans="1:10" x14ac:dyDescent="0.3">
      <c r="A303" t="s">
        <v>431</v>
      </c>
      <c r="B303" s="4">
        <v>9.0800000000000006E-2</v>
      </c>
      <c r="C303" s="4">
        <v>9.0700000000000003E-2</v>
      </c>
      <c r="D303" s="4">
        <v>9.06E-2</v>
      </c>
      <c r="E303" s="4">
        <f>AVERAGE(Data_filter_paper_weights[[#This Row],[Weight_1]:[Weight_3]])</f>
        <v>9.0700000000000003E-2</v>
      </c>
      <c r="F303" s="4">
        <v>0.1268</v>
      </c>
      <c r="G303" s="4">
        <v>0.1268</v>
      </c>
      <c r="H303" s="4">
        <f>AVERAGE(Data_filter_paper_weights[[#This Row],[Dry_weight_of_sediment+filter_paper_1]:[Dry_weight_of_sediment+filter_paper_2]])</f>
        <v>0.1268</v>
      </c>
      <c r="I303" s="4">
        <f>Data_filter_paper_weights[[#This Row],[Average_weight_of_sediment+filter_paper]]-Data_filter_paper_weights[[#This Row],[Average_weight]]</f>
        <v>3.6099999999999993E-2</v>
      </c>
    </row>
    <row r="304" spans="1:10" x14ac:dyDescent="0.3">
      <c r="A304" t="s">
        <v>432</v>
      </c>
      <c r="B304" s="4">
        <v>9.0899999999999995E-2</v>
      </c>
      <c r="C304" s="4">
        <v>9.0800000000000006E-2</v>
      </c>
      <c r="D304" s="4">
        <v>9.0999999999999998E-2</v>
      </c>
      <c r="E304" s="4">
        <f>AVERAGE(Data_filter_paper_weights[[#This Row],[Weight_1]:[Weight_3]])</f>
        <v>9.0899999999999995E-2</v>
      </c>
      <c r="F304" s="4">
        <v>0.1691</v>
      </c>
      <c r="G304" s="4">
        <v>0.16889999999999999</v>
      </c>
      <c r="H304" s="4">
        <f>AVERAGE(Data_filter_paper_weights[[#This Row],[Dry_weight_of_sediment+filter_paper_1]:[Dry_weight_of_sediment+filter_paper_2]])</f>
        <v>0.16899999999999998</v>
      </c>
      <c r="I304" s="4">
        <f>Data_filter_paper_weights[[#This Row],[Average_weight_of_sediment+filter_paper]]-Data_filter_paper_weights[[#This Row],[Average_weight]]</f>
        <v>7.8099999999999989E-2</v>
      </c>
      <c r="J304" t="str" cm="1">
        <f t="array" ref="J304">IFERROR(INDEX(A:A, SMALL(IF($I$2:$I$313&gt;0, ROW($I$2:$I$313), ""), ROW(A303))),"")</f>
        <v/>
      </c>
    </row>
    <row r="305" spans="1:10" x14ac:dyDescent="0.3">
      <c r="A305" t="s">
        <v>433</v>
      </c>
      <c r="B305" s="4">
        <v>8.3500000000000005E-2</v>
      </c>
      <c r="C305" s="4">
        <v>8.3599999999999994E-2</v>
      </c>
      <c r="D305" s="4">
        <v>8.3699999999999997E-2</v>
      </c>
      <c r="E305" s="4">
        <f>AVERAGE(Data_filter_paper_weights[[#This Row],[Weight_1]:[Weight_3]])</f>
        <v>8.3600000000000008E-2</v>
      </c>
      <c r="F305" s="4">
        <v>0.13589999999999999</v>
      </c>
      <c r="G305" s="4">
        <v>0.13600000000000001</v>
      </c>
      <c r="H305" s="4">
        <f>AVERAGE(Data_filter_paper_weights[[#This Row],[Dry_weight_of_sediment+filter_paper_1]:[Dry_weight_of_sediment+filter_paper_2]])</f>
        <v>0.13595000000000002</v>
      </c>
      <c r="I305" s="4">
        <f>Data_filter_paper_weights[[#This Row],[Average_weight_of_sediment+filter_paper]]-Data_filter_paper_weights[[#This Row],[Average_weight]]</f>
        <v>5.2350000000000008E-2</v>
      </c>
      <c r="J305" t="str" cm="1">
        <f t="array" ref="J305">IFERROR(INDEX(A:A, SMALL(IF($I$2:$I$313&gt;0, ROW($I$2:$I$313), ""), ROW(A304))),"")</f>
        <v/>
      </c>
    </row>
    <row r="306" spans="1:10" x14ac:dyDescent="0.3">
      <c r="A306" t="s">
        <v>434</v>
      </c>
      <c r="B306" s="4">
        <v>8.3900000000000002E-2</v>
      </c>
      <c r="C306" s="4">
        <v>8.4000000000000005E-2</v>
      </c>
      <c r="D306" s="4">
        <v>8.4000000000000005E-2</v>
      </c>
      <c r="E306" s="4">
        <f>AVERAGE(Data_filter_paper_weights[[#This Row],[Weight_1]:[Weight_3]])</f>
        <v>8.3966666666666676E-2</v>
      </c>
      <c r="F306" s="4">
        <v>0.46179999999999999</v>
      </c>
      <c r="G306" s="4">
        <v>0.4617</v>
      </c>
      <c r="H306" s="4">
        <f>AVERAGE(Data_filter_paper_weights[[#This Row],[Dry_weight_of_sediment+filter_paper_1]:[Dry_weight_of_sediment+filter_paper_2]])</f>
        <v>0.46174999999999999</v>
      </c>
      <c r="I306" s="4">
        <f>Data_filter_paper_weights[[#This Row],[Average_weight_of_sediment+filter_paper]]-Data_filter_paper_weights[[#This Row],[Average_weight]]</f>
        <v>0.3777833333333333</v>
      </c>
      <c r="J306" t="str" cm="1">
        <f t="array" ref="J306">IFERROR(INDEX(A:A, SMALL(IF($I$2:$I$313&gt;0, ROW($I$2:$I$313), ""), ROW(A305))),"")</f>
        <v/>
      </c>
    </row>
    <row r="307" spans="1:10" x14ac:dyDescent="0.3">
      <c r="A307" t="s">
        <v>435</v>
      </c>
      <c r="B307" s="4">
        <v>8.3500000000000005E-2</v>
      </c>
      <c r="C307" s="4">
        <v>8.3599999999999994E-2</v>
      </c>
      <c r="D307" s="4">
        <v>8.3699999999999997E-2</v>
      </c>
      <c r="E307" s="4">
        <f>AVERAGE(Data_filter_paper_weights[[#This Row],[Weight_1]:[Weight_3]])</f>
        <v>8.3600000000000008E-2</v>
      </c>
      <c r="F307" s="4">
        <v>0.17499999999999999</v>
      </c>
      <c r="G307" s="4">
        <v>0.17499999999999999</v>
      </c>
      <c r="H307" s="4">
        <f>AVERAGE(Data_filter_paper_weights[[#This Row],[Dry_weight_of_sediment+filter_paper_1]:[Dry_weight_of_sediment+filter_paper_2]])</f>
        <v>0.17499999999999999</v>
      </c>
      <c r="I307" s="4">
        <f>Data_filter_paper_weights[[#This Row],[Average_weight_of_sediment+filter_paper]]-Data_filter_paper_weights[[#This Row],[Average_weight]]</f>
        <v>9.1399999999999981E-2</v>
      </c>
      <c r="J307" t="str" cm="1">
        <f t="array" ref="J307">IFERROR(INDEX(A:A, SMALL(IF($I$2:$I$313&gt;0, ROW($I$2:$I$313), ""), ROW(A306))),"")</f>
        <v/>
      </c>
    </row>
    <row r="308" spans="1:10" x14ac:dyDescent="0.3">
      <c r="A308" t="s">
        <v>436</v>
      </c>
      <c r="B308" s="4">
        <v>8.8599999999999998E-2</v>
      </c>
      <c r="C308" s="4">
        <v>8.8499999999999995E-2</v>
      </c>
      <c r="D308" s="4">
        <v>8.8400000000000006E-2</v>
      </c>
      <c r="E308" s="4">
        <f>AVERAGE(Data_filter_paper_weights[[#This Row],[Weight_1]:[Weight_3]])</f>
        <v>8.8499999999999981E-2</v>
      </c>
      <c r="F308" s="4">
        <v>0.18010000000000001</v>
      </c>
      <c r="G308" s="4">
        <v>0.1799</v>
      </c>
      <c r="H308" s="4">
        <f>AVERAGE(Data_filter_paper_weights[[#This Row],[Dry_weight_of_sediment+filter_paper_1]:[Dry_weight_of_sediment+filter_paper_2]])</f>
        <v>0.18</v>
      </c>
      <c r="I308" s="4">
        <f>Data_filter_paper_weights[[#This Row],[Average_weight_of_sediment+filter_paper]]-Data_filter_paper_weights[[#This Row],[Average_weight]]</f>
        <v>9.1500000000000012E-2</v>
      </c>
      <c r="J308" t="str" cm="1">
        <f t="array" ref="J308">IFERROR(INDEX(A:A, SMALL(IF($I$2:$I$313&gt;0, ROW($I$2:$I$313), ""), ROW(A307))),"")</f>
        <v/>
      </c>
    </row>
    <row r="309" spans="1:10" x14ac:dyDescent="0.3">
      <c r="A309" t="s">
        <v>437</v>
      </c>
      <c r="B309" s="4">
        <v>8.77E-2</v>
      </c>
      <c r="C309" s="4">
        <v>8.7599999999999997E-2</v>
      </c>
      <c r="D309" s="4">
        <v>8.7400000000000005E-2</v>
      </c>
      <c r="E309" s="4">
        <f>AVERAGE(Data_filter_paper_weights[[#This Row],[Weight_1]:[Weight_3]])</f>
        <v>8.7566666666666682E-2</v>
      </c>
      <c r="F309" s="4">
        <v>0.1764</v>
      </c>
      <c r="G309" s="4">
        <v>0.17630000000000001</v>
      </c>
      <c r="H309" s="4">
        <f>AVERAGE(Data_filter_paper_weights[[#This Row],[Dry_weight_of_sediment+filter_paper_1]:[Dry_weight_of_sediment+filter_paper_2]])</f>
        <v>0.17635000000000001</v>
      </c>
      <c r="I309" s="4">
        <f>Data_filter_paper_weights[[#This Row],[Average_weight_of_sediment+filter_paper]]-Data_filter_paper_weights[[#This Row],[Average_weight]]</f>
        <v>8.8783333333333325E-2</v>
      </c>
    </row>
    <row r="310" spans="1:10" x14ac:dyDescent="0.3">
      <c r="A310" t="s">
        <v>438</v>
      </c>
      <c r="B310" s="4">
        <v>9.0899999999999995E-2</v>
      </c>
      <c r="C310" s="4">
        <v>9.0800000000000006E-2</v>
      </c>
      <c r="D310" s="4">
        <v>9.0999999999999998E-2</v>
      </c>
      <c r="E310" s="4">
        <f>AVERAGE(Data_filter_paper_weights[[#This Row],[Weight_1]:[Weight_3]])</f>
        <v>9.0899999999999995E-2</v>
      </c>
      <c r="F310" s="4">
        <v>0.14050000000000001</v>
      </c>
      <c r="G310" s="4">
        <v>0.14050000000000001</v>
      </c>
      <c r="H310" s="4">
        <f>AVERAGE(Data_filter_paper_weights[[#This Row],[Dry_weight_of_sediment+filter_paper_1]:[Dry_weight_of_sediment+filter_paper_2]])</f>
        <v>0.14050000000000001</v>
      </c>
      <c r="I310" s="4">
        <f>Data_filter_paper_weights[[#This Row],[Average_weight_of_sediment+filter_paper]]-Data_filter_paper_weights[[#This Row],[Average_weight]]</f>
        <v>4.9600000000000019E-2</v>
      </c>
    </row>
    <row r="311" spans="1:10" x14ac:dyDescent="0.3">
      <c r="A311" t="s">
        <v>439</v>
      </c>
      <c r="B311" s="4">
        <v>8.3900000000000002E-2</v>
      </c>
      <c r="C311" s="4">
        <v>8.4000000000000005E-2</v>
      </c>
      <c r="D311" s="4">
        <v>8.4000000000000005E-2</v>
      </c>
      <c r="E311" s="4">
        <f>AVERAGE(Data_filter_paper_weights[[#This Row],[Weight_1]:[Weight_3]])</f>
        <v>8.3966666666666676E-2</v>
      </c>
      <c r="F311" s="4">
        <v>0.46179999999999999</v>
      </c>
      <c r="G311" s="4">
        <v>0.4617</v>
      </c>
      <c r="H311" s="4">
        <f>AVERAGE(Data_filter_paper_weights[[#This Row],[Dry_weight_of_sediment+filter_paper_1]:[Dry_weight_of_sediment+filter_paper_2]])</f>
        <v>0.46174999999999999</v>
      </c>
      <c r="I311" s="4">
        <f>Data_filter_paper_weights[[#This Row],[Average_weight_of_sediment+filter_paper]]-Data_filter_paper_weights[[#This Row],[Average_weight]]</f>
        <v>0.3777833333333333</v>
      </c>
    </row>
    <row r="312" spans="1:10" x14ac:dyDescent="0.3">
      <c r="A312" t="s">
        <v>440</v>
      </c>
      <c r="B312" s="4">
        <v>8.3400000000000002E-2</v>
      </c>
      <c r="C312" s="4">
        <v>8.3500000000000005E-2</v>
      </c>
      <c r="D312" s="4">
        <v>8.3400000000000002E-2</v>
      </c>
      <c r="E312" s="4">
        <f>AVERAGE(Data_filter_paper_weights[[#This Row],[Weight_1]:[Weight_3]])</f>
        <v>8.3433333333333318E-2</v>
      </c>
      <c r="F312" s="4">
        <v>0.12330000000000001</v>
      </c>
      <c r="G312" s="4">
        <v>0.1234</v>
      </c>
      <c r="H312" s="4">
        <f>AVERAGE(Data_filter_paper_weights[[#This Row],[Dry_weight_of_sediment+filter_paper_1]:[Dry_weight_of_sediment+filter_paper_2]])</f>
        <v>0.12335</v>
      </c>
      <c r="I312" s="4">
        <f>Data_filter_paper_weights[[#This Row],[Average_weight_of_sediment+filter_paper]]-Data_filter_paper_weights[[#This Row],[Average_weight]]</f>
        <v>3.9916666666666684E-2</v>
      </c>
    </row>
    <row r="313" spans="1:10" x14ac:dyDescent="0.3">
      <c r="A313" t="s">
        <v>441</v>
      </c>
      <c r="B313" s="4">
        <v>8.3500000000000005E-2</v>
      </c>
      <c r="C313" s="4">
        <v>8.3599999999999994E-2</v>
      </c>
      <c r="D313" s="4">
        <v>8.3699999999999997E-2</v>
      </c>
      <c r="E313" s="4">
        <f>AVERAGE(Data_filter_paper_weights[[#This Row],[Weight_1]:[Weight_3]])</f>
        <v>8.3600000000000008E-2</v>
      </c>
      <c r="F313" s="4">
        <v>0.13589999999999999</v>
      </c>
      <c r="G313" s="4">
        <v>0.13600000000000001</v>
      </c>
      <c r="H313" s="4">
        <f>AVERAGE(Data_filter_paper_weights[[#This Row],[Dry_weight_of_sediment+filter_paper_1]:[Dry_weight_of_sediment+filter_paper_2]])</f>
        <v>0.13595000000000002</v>
      </c>
      <c r="I313" s="4">
        <f>Data_filter_paper_weights[[#This Row],[Average_weight_of_sediment+filter_paper]]-Data_filter_paper_weights[[#This Row],[Average_weight]]</f>
        <v>5.2350000000000008E-2</v>
      </c>
      <c r="J313" t="str" cm="1">
        <f t="array" ref="J313">IFERROR(INDEX(A:A, SMALL(IF($I$2:$I$313&gt;0, ROW($I$2:$I$313), ""), ROW(A302))),"")</f>
        <v/>
      </c>
    </row>
    <row r="314" spans="1:10" x14ac:dyDescent="0.3">
      <c r="J314" t="str" cm="1">
        <f t="array" ref="J314">IFERROR(INDEX(A:A, SMALL(IF($I$2:$I$313&gt;0, ROW($I$2:$I$313), ""), ROW(A303))),"")</f>
        <v/>
      </c>
    </row>
    <row r="315" spans="1:10" x14ac:dyDescent="0.3">
      <c r="J315" t="str" cm="1">
        <f t="array" ref="J315">IFERROR(INDEX(A:A, SMALL(IF($I$2:$I$313&gt;0, ROW($I$2:$I$313), ""), ROW(A304))),"")</f>
        <v/>
      </c>
    </row>
    <row r="316" spans="1:10" x14ac:dyDescent="0.3">
      <c r="J316" t="str" cm="1">
        <f t="array" ref="J316">IFERROR(INDEX(A:A, SMALL(IF($I$2:$I$313&gt;0, ROW($I$2:$I$313), ""), ROW(A305))),"")</f>
        <v/>
      </c>
    </row>
    <row r="317" spans="1:10" x14ac:dyDescent="0.3">
      <c r="J317" t="str" cm="1">
        <f t="array" ref="J317">IFERROR(INDEX(A:A, SMALL(IF($I$2:$I$313&gt;0, ROW($I$2:$I$313), ""), ROW(A306))),"")</f>
        <v/>
      </c>
    </row>
    <row r="318" spans="1:10" x14ac:dyDescent="0.3">
      <c r="J318" t="str" cm="1">
        <f t="array" ref="J318">IFERROR(INDEX(A:A, SMALL(IF($I$2:$I$313&gt;0, ROW($I$2:$I$313), ""), ROW(A307))),"")</f>
        <v/>
      </c>
    </row>
    <row r="319" spans="1:10" x14ac:dyDescent="0.3">
      <c r="J319" t="str" cm="1">
        <f t="array" ref="J319">IFERROR(INDEX(A:A, SMALL(IF($I$2:$I$313&gt;0, ROW($I$2:$I$313), ""), ROW(A308))),"")</f>
        <v/>
      </c>
    </row>
    <row r="320" spans="1:10" x14ac:dyDescent="0.3">
      <c r="J320" t="str" cm="1">
        <f t="array" ref="J320">IFERROR(INDEX(A:A, SMALL(IF($I$2:$I$313&gt;0, ROW($I$2:$I$313), ""), ROW(A309))),"")</f>
        <v/>
      </c>
    </row>
    <row r="321" spans="10:10" x14ac:dyDescent="0.3">
      <c r="J321" t="str" cm="1">
        <f t="array" ref="J321">IFERROR(INDEX(A:A, SMALL(IF($I$2:$I$313&gt;0, ROW($I$2:$I$313), ""), ROW(A310))),"")</f>
        <v/>
      </c>
    </row>
    <row r="322" spans="10:10" x14ac:dyDescent="0.3">
      <c r="J322" t="str" cm="1">
        <f t="array" ref="J322">IFERROR(INDEX(A:A, SMALL(IF($I$2:$I$313&gt;0, ROW($I$2:$I$313), ""), ROW(A311))),"")</f>
        <v/>
      </c>
    </row>
    <row r="323" spans="10:10" x14ac:dyDescent="0.3">
      <c r="J323" t="str" cm="1">
        <f t="array" ref="J323">IFERROR(INDEX(A:A, SMALL(IF($I$2:$I$313&gt;0, ROW($I$2:$I$313), ""), ROW(A312))),"")</f>
        <v/>
      </c>
    </row>
  </sheetData>
  <phoneticPr fontId="1" type="noConversion"/>
  <conditionalFormatting sqref="I2:I10 I12:I313">
    <cfRule type="cellIs" dxfId="91" priority="3" operator="less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AD23-3C66-4217-ADB2-F1CCD0EE0C17}">
  <sheetPr codeName="Sheet1"/>
  <dimension ref="A1:P269"/>
  <sheetViews>
    <sheetView zoomScale="107" zoomScaleNormal="112" workbookViewId="0">
      <pane xSplit="1" ySplit="3" topLeftCell="E262" activePane="bottomRight" state="frozen"/>
      <selection pane="topRight" activeCell="B1" sqref="B1"/>
      <selection pane="bottomLeft" activeCell="A4" sqref="A4"/>
      <selection pane="bottomRight" activeCell="D168" sqref="D168"/>
    </sheetView>
  </sheetViews>
  <sheetFormatPr defaultColWidth="8.88671875" defaultRowHeight="14.4" x14ac:dyDescent="0.3"/>
  <cols>
    <col min="1" max="1" width="49.5546875" style="1" customWidth="1"/>
    <col min="2" max="2" width="18.109375" style="1" customWidth="1"/>
    <col min="3" max="3" width="16.109375" style="1" customWidth="1"/>
    <col min="4" max="4" width="16.44140625" style="1" customWidth="1"/>
    <col min="5" max="5" width="13.5546875" style="1" customWidth="1"/>
    <col min="6" max="6" width="21" style="1" customWidth="1"/>
    <col min="7" max="8" width="10.6640625" style="1" customWidth="1"/>
    <col min="9" max="14" width="15.6640625" style="1" customWidth="1"/>
    <col min="15" max="15" width="10.44140625" style="1" bestFit="1" customWidth="1"/>
    <col min="16" max="16" width="10.6640625" style="14" bestFit="1" customWidth="1"/>
    <col min="17" max="17" width="32.88671875" style="1" bestFit="1" customWidth="1"/>
    <col min="18" max="18" width="42.88671875" style="1" customWidth="1"/>
    <col min="19" max="19" width="22.88671875" style="1" customWidth="1"/>
    <col min="20" max="20" width="33.33203125" style="1" customWidth="1"/>
    <col min="21" max="16384" width="8.88671875" style="1"/>
  </cols>
  <sheetData>
    <row r="1" spans="1:16" x14ac:dyDescent="0.3">
      <c r="A1" s="1" t="s">
        <v>149</v>
      </c>
      <c r="P1" s="1"/>
    </row>
    <row r="2" spans="1:16" x14ac:dyDescent="0.3">
      <c r="P2" s="1"/>
    </row>
    <row r="3" spans="1:16" ht="43.2" x14ac:dyDescent="0.3">
      <c r="A3" s="1" t="s">
        <v>148</v>
      </c>
      <c r="B3" s="1" t="s">
        <v>0</v>
      </c>
      <c r="C3" s="1" t="s">
        <v>264</v>
      </c>
      <c r="D3" s="1" t="s">
        <v>2</v>
      </c>
      <c r="E3" s="1" t="s">
        <v>10</v>
      </c>
      <c r="F3" s="1" t="s">
        <v>11</v>
      </c>
      <c r="G3" s="1" t="s">
        <v>151</v>
      </c>
      <c r="H3" s="1" t="s">
        <v>12</v>
      </c>
      <c r="I3" s="1" t="s">
        <v>153</v>
      </c>
      <c r="J3" s="1" t="s">
        <v>154</v>
      </c>
      <c r="K3" s="1" t="s">
        <v>152</v>
      </c>
      <c r="L3" s="1" t="s">
        <v>470</v>
      </c>
      <c r="M3" s="1" t="s">
        <v>150</v>
      </c>
      <c r="N3" s="1" t="s">
        <v>5</v>
      </c>
      <c r="O3" s="13" t="s">
        <v>473</v>
      </c>
      <c r="P3" s="1"/>
    </row>
    <row r="4" spans="1:16" x14ac:dyDescent="0.3">
      <c r="A4" s="1" t="s">
        <v>723</v>
      </c>
      <c r="B4" s="2" t="str">
        <f>MID(Data_depth_integrated2[[#This Row],[Code_(plot+location+sub_location+sampling_day+HT/LT)]],1,SEARCH("_",Data_depth_integrated2[[#This Row],[Code_(plot+location+sub_location+sampling_day+HT/LT)]])-1)</f>
        <v>0</v>
      </c>
      <c r="C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4" s="1" t="str">
        <f>MID(Data_depth_integrated2[[#This Row],[Code_(plot+location+sub_location+sampling_day+HT/LT)]],FIND("_Day",Data_depth_integrated2[[#This Row],[Code_(plot+location+sub_location+sampling_day+HT/LT)]])-1,1)</f>
        <v>1</v>
      </c>
      <c r="E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4" s="3" t="b">
        <v>1</v>
      </c>
      <c r="G4" s="3" t="b">
        <v>1</v>
      </c>
      <c r="H4" s="3" t="b">
        <v>1</v>
      </c>
      <c r="I4" s="1">
        <v>35</v>
      </c>
      <c r="J4" s="1">
        <v>37</v>
      </c>
      <c r="K4" s="1">
        <v>60</v>
      </c>
      <c r="L4" s="13">
        <f>((Data_depth_integrated2[[#This Row],[Depth_of_water_column_to_sediment_layer]]/100)/Data_depth_integrated2[[#This Row],[Total_sampling_time]])</f>
        <v>5.8333333333333327E-3</v>
      </c>
      <c r="M4" s="14">
        <v>5.28</v>
      </c>
      <c r="N4" s="1" t="s">
        <v>333</v>
      </c>
      <c r="O4" s="13">
        <v>4.9250000000000002E-2</v>
      </c>
      <c r="P4" s="1"/>
    </row>
    <row r="5" spans="1:16" x14ac:dyDescent="0.3">
      <c r="A5" s="1" t="s">
        <v>724</v>
      </c>
      <c r="B5" s="2" t="str">
        <f>MID(Data_depth_integrated2[[#This Row],[Code_(plot+location+sub_location+sampling_day+HT/LT)]],1,SEARCH("_",Data_depth_integrated2[[#This Row],[Code_(plot+location+sub_location+sampling_day+HT/LT)]])-1)</f>
        <v>0</v>
      </c>
      <c r="C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5" s="1" t="str">
        <f>MID(Data_depth_integrated2[[#This Row],[Code_(plot+location+sub_location+sampling_day+HT/LT)]],FIND("_Day",Data_depth_integrated2[[#This Row],[Code_(plot+location+sub_location+sampling_day+HT/LT)]])-1,1)</f>
        <v>1</v>
      </c>
      <c r="E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5" s="3" t="b">
        <v>0</v>
      </c>
      <c r="G5" s="3" t="b">
        <v>1</v>
      </c>
      <c r="H5" s="3" t="b">
        <v>1</v>
      </c>
      <c r="I5" s="1">
        <v>29</v>
      </c>
      <c r="J5" s="1">
        <v>32</v>
      </c>
      <c r="K5" s="1">
        <v>45</v>
      </c>
      <c r="L5" s="13">
        <f>((Data_depth_integrated2[[#This Row],[Depth_of_water_column_to_sediment_layer]]/100)/Data_depth_integrated2[[#This Row],[Total_sampling_time]])</f>
        <v>6.4444444444444436E-3</v>
      </c>
      <c r="M5" s="14">
        <v>5.64</v>
      </c>
      <c r="N5" s="1" t="s">
        <v>19</v>
      </c>
      <c r="O5" s="13">
        <v>0.10401666666666665</v>
      </c>
      <c r="P5" s="1"/>
    </row>
    <row r="6" spans="1:16" x14ac:dyDescent="0.3">
      <c r="A6" s="1" t="s">
        <v>725</v>
      </c>
      <c r="B6" s="2" t="str">
        <f>MID(Data_depth_integrated2[[#This Row],[Code_(plot+location+sub_location+sampling_day+HT/LT)]],1,SEARCH("_",Data_depth_integrated2[[#This Row],[Code_(plot+location+sub_location+sampling_day+HT/LT)]])-1)</f>
        <v>0</v>
      </c>
      <c r="C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6" s="1" t="str">
        <f>MID(Data_depth_integrated2[[#This Row],[Code_(plot+location+sub_location+sampling_day+HT/LT)]],FIND("_Day",Data_depth_integrated2[[#This Row],[Code_(plot+location+sub_location+sampling_day+HT/LT)]])-1,1)</f>
        <v>1</v>
      </c>
      <c r="E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6" s="3" t="b">
        <v>1</v>
      </c>
      <c r="G6" s="3" t="b">
        <v>1</v>
      </c>
      <c r="H6" s="3" t="b">
        <v>1</v>
      </c>
      <c r="I6" s="1">
        <v>35</v>
      </c>
      <c r="J6" s="1">
        <v>37</v>
      </c>
      <c r="K6" s="1">
        <v>51</v>
      </c>
      <c r="L6" s="13">
        <f>((Data_depth_integrated2[[#This Row],[Depth_of_water_column_to_sediment_layer]]/100)/Data_depth_integrated2[[#This Row],[Total_sampling_time]])</f>
        <v>6.8627450980392156E-3</v>
      </c>
      <c r="M6" s="14">
        <v>5.15</v>
      </c>
      <c r="N6" s="1" t="s">
        <v>40</v>
      </c>
      <c r="O6" s="13">
        <v>3.8150000000000003E-2</v>
      </c>
      <c r="P6" s="1"/>
    </row>
    <row r="7" spans="1:16" x14ac:dyDescent="0.3">
      <c r="A7" s="1" t="s">
        <v>726</v>
      </c>
      <c r="B7" s="2" t="str">
        <f>MID(Data_depth_integrated2[[#This Row],[Code_(plot+location+sub_location+sampling_day+HT/LT)]],1,SEARCH("_",Data_depth_integrated2[[#This Row],[Code_(plot+location+sub_location+sampling_day+HT/LT)]])-1)</f>
        <v>0</v>
      </c>
      <c r="C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7" s="1" t="str">
        <f>MID(Data_depth_integrated2[[#This Row],[Code_(plot+location+sub_location+sampling_day+HT/LT)]],FIND("_Day",Data_depth_integrated2[[#This Row],[Code_(plot+location+sub_location+sampling_day+HT/LT)]])-1,1)</f>
        <v>1</v>
      </c>
      <c r="E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7" s="3" t="b">
        <v>0</v>
      </c>
      <c r="G7" s="3" t="b">
        <v>1</v>
      </c>
      <c r="H7" s="3" t="b">
        <v>1</v>
      </c>
      <c r="I7" s="1">
        <v>29</v>
      </c>
      <c r="J7" s="1">
        <v>32</v>
      </c>
      <c r="K7" s="1">
        <v>57</v>
      </c>
      <c r="L7" s="13">
        <f>((Data_depth_integrated2[[#This Row],[Depth_of_water_column_to_sediment_layer]]/100)/Data_depth_integrated2[[#This Row],[Total_sampling_time]])</f>
        <v>5.0877192982456141E-3</v>
      </c>
      <c r="M7" s="14">
        <v>4.8099999999999996</v>
      </c>
      <c r="N7" s="1" t="s">
        <v>51</v>
      </c>
      <c r="O7" s="13">
        <v>4.3900000000000008E-2</v>
      </c>
      <c r="P7" s="1"/>
    </row>
    <row r="8" spans="1:16" x14ac:dyDescent="0.3">
      <c r="A8" s="1" t="s">
        <v>727</v>
      </c>
      <c r="B8" s="2" t="str">
        <f>MID(Data_depth_integrated2[[#This Row],[Code_(plot+location+sub_location+sampling_day+HT/LT)]],1,SEARCH("_",Data_depth_integrated2[[#This Row],[Code_(plot+location+sub_location+sampling_day+HT/LT)]])-1)</f>
        <v>0</v>
      </c>
      <c r="C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8" s="1" t="str">
        <f>MID(Data_depth_integrated2[[#This Row],[Code_(plot+location+sub_location+sampling_day+HT/LT)]],FIND("_Day",Data_depth_integrated2[[#This Row],[Code_(plot+location+sub_location+sampling_day+HT/LT)]])-1,1)</f>
        <v>1</v>
      </c>
      <c r="E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8" s="3" t="b">
        <v>1</v>
      </c>
      <c r="G8" s="3" t="b">
        <v>1</v>
      </c>
      <c r="H8" s="3" t="b">
        <v>1</v>
      </c>
      <c r="I8" s="1">
        <v>35</v>
      </c>
      <c r="J8" s="1">
        <v>37</v>
      </c>
      <c r="K8" s="1">
        <v>58</v>
      </c>
      <c r="L8" s="13">
        <f>((Data_depth_integrated2[[#This Row],[Depth_of_water_column_to_sediment_layer]]/100)/Data_depth_integrated2[[#This Row],[Total_sampling_time]])</f>
        <v>6.0344827586206896E-3</v>
      </c>
      <c r="M8" s="14">
        <v>5</v>
      </c>
      <c r="N8" s="1" t="s">
        <v>279</v>
      </c>
      <c r="O8" s="13">
        <v>7.8099999999999989E-2</v>
      </c>
      <c r="P8" s="1"/>
    </row>
    <row r="9" spans="1:16" x14ac:dyDescent="0.3">
      <c r="A9" s="1" t="s">
        <v>728</v>
      </c>
      <c r="B9" s="2" t="str">
        <f>MID(Data_depth_integrated2[[#This Row],[Code_(plot+location+sub_location+sampling_day+HT/LT)]],1,SEARCH("_",Data_depth_integrated2[[#This Row],[Code_(plot+location+sub_location+sampling_day+HT/LT)]])-1)</f>
        <v>0</v>
      </c>
      <c r="C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9" s="1" t="str">
        <f>MID(Data_depth_integrated2[[#This Row],[Code_(plot+location+sub_location+sampling_day+HT/LT)]],FIND("_Day",Data_depth_integrated2[[#This Row],[Code_(plot+location+sub_location+sampling_day+HT/LT)]])-1,1)</f>
        <v>1</v>
      </c>
      <c r="E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9" s="3" t="b">
        <v>0</v>
      </c>
      <c r="G9" s="3" t="b">
        <v>1</v>
      </c>
      <c r="H9" s="3" t="b">
        <v>1</v>
      </c>
      <c r="I9" s="1">
        <v>29</v>
      </c>
      <c r="J9" s="1">
        <v>32</v>
      </c>
      <c r="K9" s="1">
        <v>60</v>
      </c>
      <c r="L9" s="13">
        <f>((Data_depth_integrated2[[#This Row],[Depth_of_water_column_to_sediment_layer]]/100)/Data_depth_integrated2[[#This Row],[Total_sampling_time]])</f>
        <v>4.8333333333333327E-3</v>
      </c>
      <c r="M9" s="14">
        <v>5.04</v>
      </c>
      <c r="N9" s="1" t="s">
        <v>323</v>
      </c>
      <c r="O9" s="13">
        <v>4.3900000000000008E-2</v>
      </c>
      <c r="P9" s="1"/>
    </row>
    <row r="10" spans="1:16" x14ac:dyDescent="0.3">
      <c r="A10" s="1" t="s">
        <v>729</v>
      </c>
      <c r="B10" s="2" t="str">
        <f>MID(Data_depth_integrated2[[#This Row],[Code_(plot+location+sub_location+sampling_day+HT/LT)]],1,SEARCH("_",Data_depth_integrated2[[#This Row],[Code_(plot+location+sub_location+sampling_day+HT/LT)]])-1)</f>
        <v>0</v>
      </c>
      <c r="C1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0" s="1" t="str">
        <f>MID(Data_depth_integrated2[[#This Row],[Code_(plot+location+sub_location+sampling_day+HT/LT)]],FIND("_Day",Data_depth_integrated2[[#This Row],[Code_(plot+location+sub_location+sampling_day+HT/LT)]])-1,1)</f>
        <v>2</v>
      </c>
      <c r="E1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0" s="3" t="b">
        <v>1</v>
      </c>
      <c r="G10" s="3" t="b">
        <v>1</v>
      </c>
      <c r="H10" s="3" t="b">
        <v>1</v>
      </c>
      <c r="I10" s="1">
        <v>62</v>
      </c>
      <c r="J10" s="1">
        <v>62</v>
      </c>
      <c r="K10" s="1">
        <v>49</v>
      </c>
      <c r="L10" s="13">
        <f>((Data_depth_integrated2[[#This Row],[Depth_of_water_column_to_sediment_layer]]/100)/Data_depth_integrated2[[#This Row],[Total_sampling_time]])</f>
        <v>1.2653061224489795E-2</v>
      </c>
      <c r="M10" s="14">
        <v>5.7</v>
      </c>
      <c r="N10" s="1" t="s">
        <v>76</v>
      </c>
      <c r="O10" s="13">
        <v>4.2683333333333323E-2</v>
      </c>
      <c r="P10" s="1"/>
    </row>
    <row r="11" spans="1:16" x14ac:dyDescent="0.3">
      <c r="A11" s="1" t="s">
        <v>730</v>
      </c>
      <c r="B11" s="2" t="str">
        <f>MID(Data_depth_integrated2[[#This Row],[Code_(plot+location+sub_location+sampling_day+HT/LT)]],1,SEARCH("_",Data_depth_integrated2[[#This Row],[Code_(plot+location+sub_location+sampling_day+HT/LT)]])-1)</f>
        <v>0</v>
      </c>
      <c r="C1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1" s="1" t="str">
        <f>MID(Data_depth_integrated2[[#This Row],[Code_(plot+location+sub_location+sampling_day+HT/LT)]],FIND("_Day",Data_depth_integrated2[[#This Row],[Code_(plot+location+sub_location+sampling_day+HT/LT)]])-1,1)</f>
        <v>2</v>
      </c>
      <c r="E1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1" s="3" t="b">
        <v>0</v>
      </c>
      <c r="G11" s="3" t="b">
        <v>1</v>
      </c>
      <c r="H11" s="3" t="b">
        <v>1</v>
      </c>
      <c r="I11" s="1">
        <v>56</v>
      </c>
      <c r="J11" s="1">
        <v>57</v>
      </c>
      <c r="K11" s="1">
        <v>56</v>
      </c>
      <c r="L11" s="13">
        <f>((Data_depth_integrated2[[#This Row],[Depth_of_water_column_to_sediment_layer]]/100)/Data_depth_integrated2[[#This Row],[Total_sampling_time]])</f>
        <v>0.01</v>
      </c>
      <c r="M11" s="14">
        <v>5.93</v>
      </c>
      <c r="N11" s="1" t="s">
        <v>335</v>
      </c>
      <c r="O11" s="13">
        <v>5.2350000000000008E-2</v>
      </c>
      <c r="P11" s="1"/>
    </row>
    <row r="12" spans="1:16" x14ac:dyDescent="0.3">
      <c r="A12" s="1" t="s">
        <v>731</v>
      </c>
      <c r="B12" s="2" t="str">
        <f>MID(Data_depth_integrated2[[#This Row],[Code_(plot+location+sub_location+sampling_day+HT/LT)]],1,SEARCH("_",Data_depth_integrated2[[#This Row],[Code_(plot+location+sub_location+sampling_day+HT/LT)]])-1)</f>
        <v>0</v>
      </c>
      <c r="C1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2" s="1" t="str">
        <f>MID(Data_depth_integrated2[[#This Row],[Code_(plot+location+sub_location+sampling_day+HT/LT)]],FIND("_Day",Data_depth_integrated2[[#This Row],[Code_(plot+location+sub_location+sampling_day+HT/LT)]])-1,1)</f>
        <v>2</v>
      </c>
      <c r="E1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2" s="3" t="b">
        <v>1</v>
      </c>
      <c r="G12" s="3" t="b">
        <v>1</v>
      </c>
      <c r="H12" s="3" t="b">
        <v>1</v>
      </c>
      <c r="I12" s="1">
        <v>62</v>
      </c>
      <c r="J12" s="1">
        <v>62</v>
      </c>
      <c r="K12" s="1">
        <v>41</v>
      </c>
      <c r="L12" s="13">
        <f>((Data_depth_integrated2[[#This Row],[Depth_of_water_column_to_sediment_layer]]/100)/Data_depth_integrated2[[#This Row],[Total_sampling_time]])</f>
        <v>1.5121951219512195E-2</v>
      </c>
      <c r="M12" s="14">
        <v>4.87</v>
      </c>
      <c r="N12" s="1" t="s">
        <v>110</v>
      </c>
      <c r="O12" s="13">
        <v>1.2916666666666674E-2</v>
      </c>
      <c r="P12" s="1"/>
    </row>
    <row r="13" spans="1:16" x14ac:dyDescent="0.3">
      <c r="A13" s="1" t="s">
        <v>732</v>
      </c>
      <c r="B13" s="2" t="str">
        <f>MID(Data_depth_integrated2[[#This Row],[Code_(plot+location+sub_location+sampling_day+HT/LT)]],1,SEARCH("_",Data_depth_integrated2[[#This Row],[Code_(plot+location+sub_location+sampling_day+HT/LT)]])-1)</f>
        <v>0</v>
      </c>
      <c r="C1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3" s="1" t="str">
        <f>MID(Data_depth_integrated2[[#This Row],[Code_(plot+location+sub_location+sampling_day+HT/LT)]],FIND("_Day",Data_depth_integrated2[[#This Row],[Code_(plot+location+sub_location+sampling_day+HT/LT)]])-1,1)</f>
        <v>2</v>
      </c>
      <c r="E1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3" s="3" t="b">
        <v>0</v>
      </c>
      <c r="G13" s="3" t="b">
        <v>1</v>
      </c>
      <c r="H13" s="3" t="b">
        <v>1</v>
      </c>
      <c r="I13" s="1">
        <v>56</v>
      </c>
      <c r="J13" s="1">
        <v>57</v>
      </c>
      <c r="K13" s="1">
        <v>47</v>
      </c>
      <c r="L13" s="13">
        <f>((Data_depth_integrated2[[#This Row],[Depth_of_water_column_to_sediment_layer]]/100)/Data_depth_integrated2[[#This Row],[Total_sampling_time]])</f>
        <v>1.1914893617021277E-2</v>
      </c>
      <c r="M13" s="14">
        <v>4.8899999999999997</v>
      </c>
      <c r="N13" s="1" t="s">
        <v>378</v>
      </c>
      <c r="O13" s="13">
        <v>8.8783333333333325E-2</v>
      </c>
      <c r="P13" s="1"/>
    </row>
    <row r="14" spans="1:16" x14ac:dyDescent="0.3">
      <c r="A14" s="1" t="s">
        <v>733</v>
      </c>
      <c r="B14" s="2" t="str">
        <f>MID(Data_depth_integrated2[[#This Row],[Code_(plot+location+sub_location+sampling_day+HT/LT)]],1,SEARCH("_",Data_depth_integrated2[[#This Row],[Code_(plot+location+sub_location+sampling_day+HT/LT)]])-1)</f>
        <v>0</v>
      </c>
      <c r="C1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4" s="1" t="str">
        <f>MID(Data_depth_integrated2[[#This Row],[Code_(plot+location+sub_location+sampling_day+HT/LT)]],FIND("_Day",Data_depth_integrated2[[#This Row],[Code_(plot+location+sub_location+sampling_day+HT/LT)]])-1,1)</f>
        <v>2</v>
      </c>
      <c r="E1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4" s="3" t="b">
        <v>1</v>
      </c>
      <c r="G14" s="3" t="b">
        <v>1</v>
      </c>
      <c r="H14" s="3" t="b">
        <v>1</v>
      </c>
      <c r="I14" s="1">
        <v>62</v>
      </c>
      <c r="J14" s="1">
        <v>62</v>
      </c>
      <c r="K14" s="1">
        <v>47</v>
      </c>
      <c r="L14" s="13">
        <f>((Data_depth_integrated2[[#This Row],[Depth_of_water_column_to_sediment_layer]]/100)/Data_depth_integrated2[[#This Row],[Total_sampling_time]])</f>
        <v>1.3191489361702127E-2</v>
      </c>
      <c r="M14" s="14">
        <v>5.5</v>
      </c>
      <c r="N14" s="1" t="s">
        <v>98</v>
      </c>
      <c r="O14" s="13">
        <v>9.1399999999999981E-2</v>
      </c>
      <c r="P14" s="1"/>
    </row>
    <row r="15" spans="1:16" x14ac:dyDescent="0.3">
      <c r="A15" s="1" t="s">
        <v>734</v>
      </c>
      <c r="B15" s="2" t="str">
        <f>MID(Data_depth_integrated2[[#This Row],[Code_(plot+location+sub_location+sampling_day+HT/LT)]],1,SEARCH("_",Data_depth_integrated2[[#This Row],[Code_(plot+location+sub_location+sampling_day+HT/LT)]])-1)</f>
        <v>0</v>
      </c>
      <c r="C1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A</v>
      </c>
      <c r="D15" s="1" t="str">
        <f>MID(Data_depth_integrated2[[#This Row],[Code_(plot+location+sub_location+sampling_day+HT/LT)]],FIND("_Day",Data_depth_integrated2[[#This Row],[Code_(plot+location+sub_location+sampling_day+HT/LT)]])-1,1)</f>
        <v>2</v>
      </c>
      <c r="E1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5" s="3" t="b">
        <v>0</v>
      </c>
      <c r="G15" s="3" t="b">
        <v>1</v>
      </c>
      <c r="H15" s="3" t="b">
        <v>1</v>
      </c>
      <c r="I15" s="1">
        <v>62</v>
      </c>
      <c r="J15" s="1">
        <v>62</v>
      </c>
      <c r="K15" s="1">
        <v>41</v>
      </c>
      <c r="L15" s="13">
        <f>((Data_depth_integrated2[[#This Row],[Depth_of_water_column_to_sediment_layer]]/100)/Data_depth_integrated2[[#This Row],[Total_sampling_time]])</f>
        <v>1.5121951219512195E-2</v>
      </c>
      <c r="M15" s="14">
        <v>5.32</v>
      </c>
      <c r="N15" s="1" t="s">
        <v>99</v>
      </c>
      <c r="O15" s="13">
        <v>9.1500000000000012E-2</v>
      </c>
      <c r="P15" s="1"/>
    </row>
    <row r="16" spans="1:16" x14ac:dyDescent="0.3">
      <c r="A16" s="1" t="s">
        <v>735</v>
      </c>
      <c r="B16" s="2" t="str">
        <f>MID(Data_depth_integrated2[[#This Row],[Code_(plot+location+sub_location+sampling_day+HT/LT)]],1,SEARCH("_",Data_depth_integrated2[[#This Row],[Code_(plot+location+sub_location+sampling_day+HT/LT)]])-1)</f>
        <v>0</v>
      </c>
      <c r="C1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16" s="1" t="str">
        <f>MID(Data_depth_integrated2[[#This Row],[Code_(plot+location+sub_location+sampling_day+HT/LT)]],FIND("_Day",Data_depth_integrated2[[#This Row],[Code_(plot+location+sub_location+sampling_day+HT/LT)]])-1,1)</f>
        <v>1</v>
      </c>
      <c r="E1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6" s="3" t="b">
        <v>1</v>
      </c>
      <c r="G16" s="3" t="b">
        <v>1</v>
      </c>
      <c r="H16" s="3" t="b">
        <v>1</v>
      </c>
      <c r="I16" s="1">
        <v>17</v>
      </c>
      <c r="J16" s="1">
        <v>32</v>
      </c>
      <c r="K16" s="1">
        <v>46</v>
      </c>
      <c r="L16" s="13">
        <f>((Data_depth_integrated2[[#This Row],[Depth_of_water_column_to_sediment_layer]]/100)/Data_depth_integrated2[[#This Row],[Total_sampling_time]])</f>
        <v>3.6956521739130439E-3</v>
      </c>
      <c r="M16" s="14">
        <v>4.99</v>
      </c>
      <c r="N16" s="1" t="s">
        <v>361</v>
      </c>
      <c r="O16" s="13">
        <v>4.9250000000000002E-2</v>
      </c>
      <c r="P16" s="1"/>
    </row>
    <row r="17" spans="1:16" x14ac:dyDescent="0.3">
      <c r="A17" s="1" t="s">
        <v>736</v>
      </c>
      <c r="B17" s="2" t="str">
        <f>MID(Data_depth_integrated2[[#This Row],[Code_(plot+location+sub_location+sampling_day+HT/LT)]],1,SEARCH("_",Data_depth_integrated2[[#This Row],[Code_(plot+location+sub_location+sampling_day+HT/LT)]])-1)</f>
        <v>0</v>
      </c>
      <c r="C1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17" s="1" t="str">
        <f>MID(Data_depth_integrated2[[#This Row],[Code_(plot+location+sub_location+sampling_day+HT/LT)]],FIND("_Day",Data_depth_integrated2[[#This Row],[Code_(plot+location+sub_location+sampling_day+HT/LT)]])-1,1)</f>
        <v>1</v>
      </c>
      <c r="E1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7" s="3" t="b">
        <v>0</v>
      </c>
      <c r="G17" s="3" t="b">
        <v>1</v>
      </c>
      <c r="H17" s="3" t="b">
        <v>1</v>
      </c>
      <c r="I17" s="1">
        <v>13</v>
      </c>
      <c r="J17" s="1">
        <v>28</v>
      </c>
      <c r="K17" s="1">
        <v>57</v>
      </c>
      <c r="L17" s="13">
        <f>((Data_depth_integrated2[[#This Row],[Depth_of_water_column_to_sediment_layer]]/100)/Data_depth_integrated2[[#This Row],[Total_sampling_time]])</f>
        <v>2.2807017543859651E-3</v>
      </c>
      <c r="M17" s="14">
        <v>5.62</v>
      </c>
      <c r="N17" s="1" t="s">
        <v>404</v>
      </c>
      <c r="O17" s="13">
        <v>3.6099999999999993E-2</v>
      </c>
      <c r="P17" s="1"/>
    </row>
    <row r="18" spans="1:16" x14ac:dyDescent="0.3">
      <c r="A18" s="1" t="s">
        <v>737</v>
      </c>
      <c r="B18" s="2" t="str">
        <f>MID(Data_depth_integrated2[[#This Row],[Code_(plot+location+sub_location+sampling_day+HT/LT)]],1,SEARCH("_",Data_depth_integrated2[[#This Row],[Code_(plot+location+sub_location+sampling_day+HT/LT)]])-1)</f>
        <v>0</v>
      </c>
      <c r="C1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18" s="1" t="str">
        <f>MID(Data_depth_integrated2[[#This Row],[Code_(plot+location+sub_location+sampling_day+HT/LT)]],FIND("_Day",Data_depth_integrated2[[#This Row],[Code_(plot+location+sub_location+sampling_day+HT/LT)]])-1,1)</f>
        <v>1</v>
      </c>
      <c r="E1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8" s="3" t="b">
        <v>1</v>
      </c>
      <c r="G18" s="3" t="b">
        <v>1</v>
      </c>
      <c r="H18" s="3" t="b">
        <v>1</v>
      </c>
      <c r="I18" s="1">
        <v>17</v>
      </c>
      <c r="J18" s="1">
        <v>32</v>
      </c>
      <c r="K18" s="1">
        <v>39</v>
      </c>
      <c r="L18" s="13">
        <f>((Data_depth_integrated2[[#This Row],[Depth_of_water_column_to_sediment_layer]]/100)/Data_depth_integrated2[[#This Row],[Total_sampling_time]])</f>
        <v>4.3589743589743596E-3</v>
      </c>
      <c r="M18" s="14">
        <v>5.53</v>
      </c>
      <c r="N18" s="1" t="s">
        <v>343</v>
      </c>
      <c r="O18" s="13">
        <v>0.77116666666666678</v>
      </c>
      <c r="P18" s="1"/>
    </row>
    <row r="19" spans="1:16" x14ac:dyDescent="0.3">
      <c r="A19" s="1" t="s">
        <v>738</v>
      </c>
      <c r="B19" s="2" t="str">
        <f>MID(Data_depth_integrated2[[#This Row],[Code_(plot+location+sub_location+sampling_day+HT/LT)]],1,SEARCH("_",Data_depth_integrated2[[#This Row],[Code_(plot+location+sub_location+sampling_day+HT/LT)]])-1)</f>
        <v>0</v>
      </c>
      <c r="C1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19" s="1" t="str">
        <f>MID(Data_depth_integrated2[[#This Row],[Code_(plot+location+sub_location+sampling_day+HT/LT)]],FIND("_Day",Data_depth_integrated2[[#This Row],[Code_(plot+location+sub_location+sampling_day+HT/LT)]])-1,1)</f>
        <v>1</v>
      </c>
      <c r="E1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9" s="3" t="b">
        <v>0</v>
      </c>
      <c r="G19" s="3" t="b">
        <v>1</v>
      </c>
      <c r="H19" s="3" t="b">
        <v>1</v>
      </c>
      <c r="I19" s="1">
        <v>13</v>
      </c>
      <c r="J19" s="1">
        <v>28</v>
      </c>
      <c r="K19" s="1">
        <v>41</v>
      </c>
      <c r="L19" s="13">
        <f>((Data_depth_integrated2[[#This Row],[Depth_of_water_column_to_sediment_layer]]/100)/Data_depth_integrated2[[#This Row],[Total_sampling_time]])</f>
        <v>3.1707317073170734E-3</v>
      </c>
      <c r="M19" s="14">
        <v>4.92</v>
      </c>
      <c r="N19" s="1" t="s">
        <v>434</v>
      </c>
      <c r="O19" s="13">
        <v>0.3777833333333333</v>
      </c>
      <c r="P19" s="1"/>
    </row>
    <row r="20" spans="1:16" x14ac:dyDescent="0.3">
      <c r="A20" s="1" t="s">
        <v>739</v>
      </c>
      <c r="B20" s="2" t="str">
        <f>MID(Data_depth_integrated2[[#This Row],[Code_(plot+location+sub_location+sampling_day+HT/LT)]],1,SEARCH("_",Data_depth_integrated2[[#This Row],[Code_(plot+location+sub_location+sampling_day+HT/LT)]])-1)</f>
        <v>0</v>
      </c>
      <c r="C2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0" s="1" t="str">
        <f>MID(Data_depth_integrated2[[#This Row],[Code_(plot+location+sub_location+sampling_day+HT/LT)]],FIND("_Day",Data_depth_integrated2[[#This Row],[Code_(plot+location+sub_location+sampling_day+HT/LT)]])-1,1)</f>
        <v>1</v>
      </c>
      <c r="E2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0" s="3" t="b">
        <v>1</v>
      </c>
      <c r="G20" s="3" t="b">
        <v>1</v>
      </c>
      <c r="H20" s="3" t="b">
        <v>1</v>
      </c>
      <c r="I20" s="1">
        <v>17</v>
      </c>
      <c r="J20" s="1">
        <v>32</v>
      </c>
      <c r="K20" s="1">
        <v>44</v>
      </c>
      <c r="L20" s="13">
        <f>((Data_depth_integrated2[[#This Row],[Depth_of_water_column_to_sediment_layer]]/100)/Data_depth_integrated2[[#This Row],[Total_sampling_time]])</f>
        <v>3.8636363636363638E-3</v>
      </c>
      <c r="M20" s="14">
        <v>5.24</v>
      </c>
      <c r="N20" s="1" t="s">
        <v>302</v>
      </c>
      <c r="O20" s="13">
        <v>4.3900000000000008E-2</v>
      </c>
      <c r="P20" s="1"/>
    </row>
    <row r="21" spans="1:16" x14ac:dyDescent="0.3">
      <c r="A21" s="1" t="s">
        <v>740</v>
      </c>
      <c r="B21" s="2" t="str">
        <f>MID(Data_depth_integrated2[[#This Row],[Code_(plot+location+sub_location+sampling_day+HT/LT)]],1,SEARCH("_",Data_depth_integrated2[[#This Row],[Code_(plot+location+sub_location+sampling_day+HT/LT)]])-1)</f>
        <v>0</v>
      </c>
      <c r="C2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1" s="1" t="str">
        <f>MID(Data_depth_integrated2[[#This Row],[Code_(plot+location+sub_location+sampling_day+HT/LT)]],FIND("_Day",Data_depth_integrated2[[#This Row],[Code_(plot+location+sub_location+sampling_day+HT/LT)]])-1,1)</f>
        <v>1</v>
      </c>
      <c r="E2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1" s="3" t="b">
        <v>0</v>
      </c>
      <c r="G21" s="3" t="b">
        <v>1</v>
      </c>
      <c r="H21" s="3" t="b">
        <v>1</v>
      </c>
      <c r="I21" s="1">
        <v>13</v>
      </c>
      <c r="J21" s="1">
        <v>28</v>
      </c>
      <c r="K21" s="1">
        <v>47</v>
      </c>
      <c r="L21" s="13">
        <f>((Data_depth_integrated2[[#This Row],[Depth_of_water_column_to_sediment_layer]]/100)/Data_depth_integrated2[[#This Row],[Total_sampling_time]])</f>
        <v>2.7659574468085106E-3</v>
      </c>
      <c r="M21" s="14">
        <v>5.44</v>
      </c>
      <c r="N21" s="1" t="s">
        <v>435</v>
      </c>
      <c r="O21" s="13">
        <v>9.1399999999999981E-2</v>
      </c>
      <c r="P21" s="1"/>
    </row>
    <row r="22" spans="1:16" x14ac:dyDescent="0.3">
      <c r="A22" s="1" t="s">
        <v>741</v>
      </c>
      <c r="B22" s="2" t="str">
        <f>MID(Data_depth_integrated2[[#This Row],[Code_(plot+location+sub_location+sampling_day+HT/LT)]],1,SEARCH("_",Data_depth_integrated2[[#This Row],[Code_(plot+location+sub_location+sampling_day+HT/LT)]])-1)</f>
        <v>0</v>
      </c>
      <c r="C2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2" s="1" t="str">
        <f>MID(Data_depth_integrated2[[#This Row],[Code_(plot+location+sub_location+sampling_day+HT/LT)]],FIND("_Day",Data_depth_integrated2[[#This Row],[Code_(plot+location+sub_location+sampling_day+HT/LT)]])-1,1)</f>
        <v>2</v>
      </c>
      <c r="E2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2" s="3" t="b">
        <v>1</v>
      </c>
      <c r="G22" s="3" t="b">
        <v>1</v>
      </c>
      <c r="H22" s="3" t="b">
        <v>1</v>
      </c>
      <c r="I22" s="1">
        <v>59</v>
      </c>
      <c r="J22" s="1">
        <v>66</v>
      </c>
      <c r="K22" s="1">
        <v>55</v>
      </c>
      <c r="L22" s="13">
        <f>((Data_depth_integrated2[[#This Row],[Depth_of_water_column_to_sediment_layer]]/100)/Data_depth_integrated2[[#This Row],[Total_sampling_time]])</f>
        <v>1.0727272727272726E-2</v>
      </c>
      <c r="M22" s="14">
        <v>5.67</v>
      </c>
      <c r="N22" s="1" t="s">
        <v>371</v>
      </c>
      <c r="O22" s="13">
        <v>2.0499999999999963E-3</v>
      </c>
      <c r="P22" s="1"/>
    </row>
    <row r="23" spans="1:16" x14ac:dyDescent="0.3">
      <c r="A23" s="1" t="s">
        <v>742</v>
      </c>
      <c r="B23" s="2" t="str">
        <f>MID(Data_depth_integrated2[[#This Row],[Code_(plot+location+sub_location+sampling_day+HT/LT)]],1,SEARCH("_",Data_depth_integrated2[[#This Row],[Code_(plot+location+sub_location+sampling_day+HT/LT)]])-1)</f>
        <v>0</v>
      </c>
      <c r="C2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3" s="1" t="str">
        <f>MID(Data_depth_integrated2[[#This Row],[Code_(plot+location+sub_location+sampling_day+HT/LT)]],FIND("_Day",Data_depth_integrated2[[#This Row],[Code_(plot+location+sub_location+sampling_day+HT/LT)]])-1,1)</f>
        <v>2</v>
      </c>
      <c r="E2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3" s="3" t="b">
        <v>0</v>
      </c>
      <c r="G23" s="3" t="b">
        <v>1</v>
      </c>
      <c r="H23" s="3" t="b">
        <v>1</v>
      </c>
      <c r="I23" s="1">
        <v>57</v>
      </c>
      <c r="J23" s="1">
        <v>64</v>
      </c>
      <c r="K23" s="1">
        <v>50</v>
      </c>
      <c r="L23" s="13">
        <f>((Data_depth_integrated2[[#This Row],[Depth_of_water_column_to_sediment_layer]]/100)/Data_depth_integrated2[[#This Row],[Total_sampling_time]])</f>
        <v>1.1399999999999999E-2</v>
      </c>
      <c r="M23" s="14">
        <v>4.93</v>
      </c>
      <c r="N23" s="1" t="s">
        <v>424</v>
      </c>
      <c r="O23" s="13">
        <v>9.1500000000000012E-2</v>
      </c>
      <c r="P23" s="1"/>
    </row>
    <row r="24" spans="1:16" x14ac:dyDescent="0.3">
      <c r="A24" s="1" t="s">
        <v>743</v>
      </c>
      <c r="B24" s="2" t="str">
        <f>MID(Data_depth_integrated2[[#This Row],[Code_(plot+location+sub_location+sampling_day+HT/LT)]],1,SEARCH("_",Data_depth_integrated2[[#This Row],[Code_(plot+location+sub_location+sampling_day+HT/LT)]])-1)</f>
        <v>0</v>
      </c>
      <c r="C2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4" s="1" t="str">
        <f>MID(Data_depth_integrated2[[#This Row],[Code_(plot+location+sub_location+sampling_day+HT/LT)]],FIND("_Day",Data_depth_integrated2[[#This Row],[Code_(plot+location+sub_location+sampling_day+HT/LT)]])-1,1)</f>
        <v>2</v>
      </c>
      <c r="E2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4" s="3" t="b">
        <v>1</v>
      </c>
      <c r="G24" s="3" t="b">
        <v>1</v>
      </c>
      <c r="H24" s="3" t="b">
        <v>1</v>
      </c>
      <c r="I24" s="1">
        <v>59</v>
      </c>
      <c r="J24" s="1">
        <v>66</v>
      </c>
      <c r="K24" s="1">
        <v>41</v>
      </c>
      <c r="L24" s="13">
        <f>((Data_depth_integrated2[[#This Row],[Depth_of_water_column_to_sediment_layer]]/100)/Data_depth_integrated2[[#This Row],[Total_sampling_time]])</f>
        <v>1.4390243902439023E-2</v>
      </c>
      <c r="M24" s="14">
        <v>4.7</v>
      </c>
      <c r="N24" s="1" t="s">
        <v>282</v>
      </c>
      <c r="O24" s="13">
        <v>7.7550000000000008E-2</v>
      </c>
      <c r="P24" s="1"/>
    </row>
    <row r="25" spans="1:16" x14ac:dyDescent="0.3">
      <c r="A25" s="1" t="s">
        <v>744</v>
      </c>
      <c r="B25" s="2" t="str">
        <f>MID(Data_depth_integrated2[[#This Row],[Code_(plot+location+sub_location+sampling_day+HT/LT)]],1,SEARCH("_",Data_depth_integrated2[[#This Row],[Code_(plot+location+sub_location+sampling_day+HT/LT)]])-1)</f>
        <v>0</v>
      </c>
      <c r="C2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5" s="1" t="str">
        <f>MID(Data_depth_integrated2[[#This Row],[Code_(plot+location+sub_location+sampling_day+HT/LT)]],FIND("_Day",Data_depth_integrated2[[#This Row],[Code_(plot+location+sub_location+sampling_day+HT/LT)]])-1,1)</f>
        <v>2</v>
      </c>
      <c r="E2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5" s="3" t="b">
        <v>0</v>
      </c>
      <c r="G25" s="3" t="b">
        <v>1</v>
      </c>
      <c r="H25" s="3" t="b">
        <v>1</v>
      </c>
      <c r="I25" s="1">
        <v>57</v>
      </c>
      <c r="J25" s="1">
        <v>64</v>
      </c>
      <c r="K25" s="1">
        <v>60</v>
      </c>
      <c r="L25" s="13">
        <f>((Data_depth_integrated2[[#This Row],[Depth_of_water_column_to_sediment_layer]]/100)/Data_depth_integrated2[[#This Row],[Total_sampling_time]])</f>
        <v>9.4999999999999998E-3</v>
      </c>
      <c r="M25" s="14">
        <v>5.75</v>
      </c>
      <c r="N25" s="1" t="s">
        <v>439</v>
      </c>
      <c r="O25" s="13">
        <v>0.3777833333333333</v>
      </c>
      <c r="P25" s="1"/>
    </row>
    <row r="26" spans="1:16" x14ac:dyDescent="0.3">
      <c r="A26" s="1" t="s">
        <v>745</v>
      </c>
      <c r="B26" s="2" t="str">
        <f>MID(Data_depth_integrated2[[#This Row],[Code_(plot+location+sub_location+sampling_day+HT/LT)]],1,SEARCH("_",Data_depth_integrated2[[#This Row],[Code_(plot+location+sub_location+sampling_day+HT/LT)]])-1)</f>
        <v>0</v>
      </c>
      <c r="C2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6" s="1" t="str">
        <f>MID(Data_depth_integrated2[[#This Row],[Code_(plot+location+sub_location+sampling_day+HT/LT)]],FIND("_Day",Data_depth_integrated2[[#This Row],[Code_(plot+location+sub_location+sampling_day+HT/LT)]])-1,1)</f>
        <v>2</v>
      </c>
      <c r="E2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6" s="3" t="b">
        <v>1</v>
      </c>
      <c r="G26" s="3" t="b">
        <v>1</v>
      </c>
      <c r="H26" s="3" t="b">
        <v>1</v>
      </c>
      <c r="I26" s="1">
        <v>59</v>
      </c>
      <c r="J26" s="1">
        <v>66</v>
      </c>
      <c r="K26" s="1">
        <v>56</v>
      </c>
      <c r="L26" s="13">
        <f>((Data_depth_integrated2[[#This Row],[Depth_of_water_column_to_sediment_layer]]/100)/Data_depth_integrated2[[#This Row],[Total_sampling_time]])</f>
        <v>1.0535714285714285E-2</v>
      </c>
      <c r="M26" s="14">
        <v>5.63</v>
      </c>
      <c r="N26" s="1" t="s">
        <v>351</v>
      </c>
      <c r="O26" s="13">
        <v>5.2350000000000008E-2</v>
      </c>
      <c r="P26" s="1"/>
    </row>
    <row r="27" spans="1:16" x14ac:dyDescent="0.3">
      <c r="A27" s="1" t="s">
        <v>746</v>
      </c>
      <c r="B27" s="2" t="str">
        <f>MID(Data_depth_integrated2[[#This Row],[Code_(plot+location+sub_location+sampling_day+HT/LT)]],1,SEARCH("_",Data_depth_integrated2[[#This Row],[Code_(plot+location+sub_location+sampling_day+HT/LT)]])-1)</f>
        <v>0</v>
      </c>
      <c r="C2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B_end</v>
      </c>
      <c r="D27" s="1" t="str">
        <f>MID(Data_depth_integrated2[[#This Row],[Code_(plot+location+sub_location+sampling_day+HT/LT)]],FIND("_Day",Data_depth_integrated2[[#This Row],[Code_(plot+location+sub_location+sampling_day+HT/LT)]])-1,1)</f>
        <v>2</v>
      </c>
      <c r="E2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7" s="3" t="b">
        <v>0</v>
      </c>
      <c r="G27" s="3" t="b">
        <v>1</v>
      </c>
      <c r="H27" s="3" t="b">
        <v>1</v>
      </c>
      <c r="I27" s="1">
        <v>57</v>
      </c>
      <c r="J27" s="1">
        <v>64</v>
      </c>
      <c r="K27" s="1">
        <v>60</v>
      </c>
      <c r="L27" s="13">
        <f>((Data_depth_integrated2[[#This Row],[Depth_of_water_column_to_sediment_layer]]/100)/Data_depth_integrated2[[#This Row],[Total_sampling_time]])</f>
        <v>9.4999999999999998E-3</v>
      </c>
      <c r="M27" s="14">
        <v>5.98</v>
      </c>
      <c r="N27" s="1" t="s">
        <v>363</v>
      </c>
      <c r="O27" s="13">
        <v>4.9600000000000019E-2</v>
      </c>
      <c r="P27" s="1"/>
    </row>
    <row r="28" spans="1:16" x14ac:dyDescent="0.3">
      <c r="A28" s="1" t="s">
        <v>747</v>
      </c>
      <c r="B28" s="2" t="str">
        <f>MID(Data_depth_integrated2[[#This Row],[Code_(plot+location+sub_location+sampling_day+HT/LT)]],1,SEARCH("_",Data_depth_integrated2[[#This Row],[Code_(plot+location+sub_location+sampling_day+HT/LT)]])-1)</f>
        <v>0</v>
      </c>
      <c r="C2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28" s="1" t="str">
        <f>MID(Data_depth_integrated2[[#This Row],[Code_(plot+location+sub_location+sampling_day+HT/LT)]],FIND("_Day",Data_depth_integrated2[[#This Row],[Code_(plot+location+sub_location+sampling_day+HT/LT)]])-1,1)</f>
        <v>1</v>
      </c>
      <c r="E2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8" s="3" t="b">
        <v>1</v>
      </c>
      <c r="G28" s="3" t="b">
        <v>1</v>
      </c>
      <c r="H28" s="3" t="b">
        <v>1</v>
      </c>
      <c r="I28" s="1">
        <v>38</v>
      </c>
      <c r="J28" s="1">
        <v>45</v>
      </c>
      <c r="K28" s="1">
        <v>58</v>
      </c>
      <c r="L28" s="13">
        <f>((Data_depth_integrated2[[#This Row],[Depth_of_water_column_to_sediment_layer]]/100)/Data_depth_integrated2[[#This Row],[Total_sampling_time]])</f>
        <v>6.5517241379310347E-3</v>
      </c>
      <c r="M28" s="14">
        <v>5.05</v>
      </c>
      <c r="N28" s="1" t="s">
        <v>368</v>
      </c>
      <c r="O28" s="13">
        <v>4.9250000000000002E-2</v>
      </c>
      <c r="P28" s="1"/>
    </row>
    <row r="29" spans="1:16" x14ac:dyDescent="0.3">
      <c r="A29" s="1" t="s">
        <v>748</v>
      </c>
      <c r="B29" s="2" t="str">
        <f>MID(Data_depth_integrated2[[#This Row],[Code_(plot+location+sub_location+sampling_day+HT/LT)]],1,SEARCH("_",Data_depth_integrated2[[#This Row],[Code_(plot+location+sub_location+sampling_day+HT/LT)]])-1)</f>
        <v>0</v>
      </c>
      <c r="C2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29" s="1" t="str">
        <f>MID(Data_depth_integrated2[[#This Row],[Code_(plot+location+sub_location+sampling_day+HT/LT)]],FIND("_Day",Data_depth_integrated2[[#This Row],[Code_(plot+location+sub_location+sampling_day+HT/LT)]])-1,1)</f>
        <v>1</v>
      </c>
      <c r="E2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9" s="3" t="b">
        <v>0</v>
      </c>
      <c r="G29" s="3" t="b">
        <v>1</v>
      </c>
      <c r="H29" s="3" t="b">
        <v>1</v>
      </c>
      <c r="I29" s="1">
        <v>33</v>
      </c>
      <c r="J29" s="1">
        <v>40</v>
      </c>
      <c r="K29" s="1">
        <v>45</v>
      </c>
      <c r="L29" s="13">
        <f>((Data_depth_integrated2[[#This Row],[Depth_of_water_column_to_sediment_layer]]/100)/Data_depth_integrated2[[#This Row],[Total_sampling_time]])</f>
        <v>7.3333333333333341E-3</v>
      </c>
      <c r="M29" s="14">
        <v>5.8</v>
      </c>
      <c r="N29" s="1" t="s">
        <v>399</v>
      </c>
      <c r="O29" s="13">
        <v>8.8783333333333325E-2</v>
      </c>
      <c r="P29" s="1"/>
    </row>
    <row r="30" spans="1:16" x14ac:dyDescent="0.3">
      <c r="A30" s="1" t="s">
        <v>749</v>
      </c>
      <c r="B30" s="2" t="str">
        <f>MID(Data_depth_integrated2[[#This Row],[Code_(plot+location+sub_location+sampling_day+HT/LT)]],1,SEARCH("_",Data_depth_integrated2[[#This Row],[Code_(plot+location+sub_location+sampling_day+HT/LT)]])-1)</f>
        <v>0</v>
      </c>
      <c r="C3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0" s="1" t="str">
        <f>MID(Data_depth_integrated2[[#This Row],[Code_(plot+location+sub_location+sampling_day+HT/LT)]],FIND("_Day",Data_depth_integrated2[[#This Row],[Code_(plot+location+sub_location+sampling_day+HT/LT)]])-1,1)</f>
        <v>1</v>
      </c>
      <c r="E3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30" s="3" t="b">
        <v>1</v>
      </c>
      <c r="G30" s="3" t="b">
        <v>1</v>
      </c>
      <c r="H30" s="3" t="b">
        <v>1</v>
      </c>
      <c r="I30" s="1">
        <v>38</v>
      </c>
      <c r="J30" s="1">
        <v>45</v>
      </c>
      <c r="K30" s="1">
        <v>45</v>
      </c>
      <c r="L30" s="13">
        <f>((Data_depth_integrated2[[#This Row],[Depth_of_water_column_to_sediment_layer]]/100)/Data_depth_integrated2[[#This Row],[Total_sampling_time]])</f>
        <v>8.4444444444444454E-3</v>
      </c>
      <c r="M30" s="14">
        <v>4.88</v>
      </c>
      <c r="N30" s="1" t="s">
        <v>367</v>
      </c>
      <c r="O30" s="13">
        <v>5.2350000000000008E-2</v>
      </c>
      <c r="P30" s="1"/>
    </row>
    <row r="31" spans="1:16" x14ac:dyDescent="0.3">
      <c r="A31" s="1" t="s">
        <v>750</v>
      </c>
      <c r="B31" s="2" t="str">
        <f>MID(Data_depth_integrated2[[#This Row],[Code_(plot+location+sub_location+sampling_day+HT/LT)]],1,SEARCH("_",Data_depth_integrated2[[#This Row],[Code_(plot+location+sub_location+sampling_day+HT/LT)]])-1)</f>
        <v>0</v>
      </c>
      <c r="C3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1" s="1" t="str">
        <f>MID(Data_depth_integrated2[[#This Row],[Code_(plot+location+sub_location+sampling_day+HT/LT)]],FIND("_Day",Data_depth_integrated2[[#This Row],[Code_(plot+location+sub_location+sampling_day+HT/LT)]])-1,1)</f>
        <v>1</v>
      </c>
      <c r="E3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31" s="3" t="b">
        <v>0</v>
      </c>
      <c r="G31" s="3" t="b">
        <v>1</v>
      </c>
      <c r="H31" s="3" t="b">
        <v>1</v>
      </c>
      <c r="I31" s="1">
        <v>33</v>
      </c>
      <c r="J31" s="1">
        <v>40</v>
      </c>
      <c r="K31" s="1">
        <v>56</v>
      </c>
      <c r="L31" s="13">
        <f>((Data_depth_integrated2[[#This Row],[Depth_of_water_column_to_sediment_layer]]/100)/Data_depth_integrated2[[#This Row],[Total_sampling_time]])</f>
        <v>5.8928571428571433E-3</v>
      </c>
      <c r="M31" s="14">
        <v>4.8600000000000003</v>
      </c>
      <c r="N31" s="1" t="s">
        <v>359</v>
      </c>
      <c r="O31" s="13">
        <v>3.9916666666666684E-2</v>
      </c>
      <c r="P31" s="1"/>
    </row>
    <row r="32" spans="1:16" x14ac:dyDescent="0.3">
      <c r="A32" s="1" t="s">
        <v>751</v>
      </c>
      <c r="B32" s="2" t="str">
        <f>MID(Data_depth_integrated2[[#This Row],[Code_(plot+location+sub_location+sampling_day+HT/LT)]],1,SEARCH("_",Data_depth_integrated2[[#This Row],[Code_(plot+location+sub_location+sampling_day+HT/LT)]])-1)</f>
        <v>0</v>
      </c>
      <c r="C3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2" s="1" t="str">
        <f>MID(Data_depth_integrated2[[#This Row],[Code_(plot+location+sub_location+sampling_day+HT/LT)]],FIND("_Day",Data_depth_integrated2[[#This Row],[Code_(plot+location+sub_location+sampling_day+HT/LT)]])-1,1)</f>
        <v>1</v>
      </c>
      <c r="E3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32" s="3" t="b">
        <v>1</v>
      </c>
      <c r="G32" s="3" t="b">
        <v>1</v>
      </c>
      <c r="H32" s="3" t="b">
        <v>1</v>
      </c>
      <c r="I32" s="1">
        <v>38</v>
      </c>
      <c r="J32" s="1">
        <v>45</v>
      </c>
      <c r="K32" s="1">
        <v>56</v>
      </c>
      <c r="L32" s="13">
        <f>((Data_depth_integrated2[[#This Row],[Depth_of_water_column_to_sediment_layer]]/100)/Data_depth_integrated2[[#This Row],[Total_sampling_time]])</f>
        <v>6.7857142857142855E-3</v>
      </c>
      <c r="M32" s="14">
        <v>4.72</v>
      </c>
      <c r="N32" s="1" t="s">
        <v>317</v>
      </c>
      <c r="O32" s="13">
        <v>5.0150000000000014E-2</v>
      </c>
      <c r="P32" s="1"/>
    </row>
    <row r="33" spans="1:16" x14ac:dyDescent="0.3">
      <c r="A33" s="1" t="s">
        <v>752</v>
      </c>
      <c r="B33" s="2" t="str">
        <f>MID(Data_depth_integrated2[[#This Row],[Code_(plot+location+sub_location+sampling_day+HT/LT)]],1,SEARCH("_",Data_depth_integrated2[[#This Row],[Code_(plot+location+sub_location+sampling_day+HT/LT)]])-1)</f>
        <v>0</v>
      </c>
      <c r="C3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3" s="1" t="str">
        <f>MID(Data_depth_integrated2[[#This Row],[Code_(plot+location+sub_location+sampling_day+HT/LT)]],FIND("_Day",Data_depth_integrated2[[#This Row],[Code_(plot+location+sub_location+sampling_day+HT/LT)]])-1,1)</f>
        <v>1</v>
      </c>
      <c r="E3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33" s="3" t="b">
        <v>0</v>
      </c>
      <c r="G33" s="3" t="b">
        <v>1</v>
      </c>
      <c r="H33" s="3" t="b">
        <v>1</v>
      </c>
      <c r="I33" s="1">
        <v>33</v>
      </c>
      <c r="J33" s="1">
        <v>40</v>
      </c>
      <c r="K33" s="1">
        <v>60</v>
      </c>
      <c r="L33" s="13">
        <f>((Data_depth_integrated2[[#This Row],[Depth_of_water_column_to_sediment_layer]]/100)/Data_depth_integrated2[[#This Row],[Total_sampling_time]])</f>
        <v>5.5000000000000005E-3</v>
      </c>
      <c r="M33" s="14">
        <v>5.98</v>
      </c>
      <c r="N33" s="1" t="s">
        <v>337</v>
      </c>
      <c r="O33" s="13">
        <v>3.6099999999999993E-2</v>
      </c>
      <c r="P33" s="1"/>
    </row>
    <row r="34" spans="1:16" x14ac:dyDescent="0.3">
      <c r="A34" s="1" t="s">
        <v>753</v>
      </c>
      <c r="B34" s="2" t="str">
        <f>MID(Data_depth_integrated2[[#This Row],[Code_(plot+location+sub_location+sampling_day+HT/LT)]],1,SEARCH("_",Data_depth_integrated2[[#This Row],[Code_(plot+location+sub_location+sampling_day+HT/LT)]])-1)</f>
        <v>0</v>
      </c>
      <c r="C3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4" s="1" t="str">
        <f>MID(Data_depth_integrated2[[#This Row],[Code_(plot+location+sub_location+sampling_day+HT/LT)]],FIND("_Day",Data_depth_integrated2[[#This Row],[Code_(plot+location+sub_location+sampling_day+HT/LT)]])-1,1)</f>
        <v>2</v>
      </c>
      <c r="E3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34" s="3" t="b">
        <v>1</v>
      </c>
      <c r="G34" s="3" t="b">
        <v>1</v>
      </c>
      <c r="H34" s="3" t="b">
        <v>1</v>
      </c>
      <c r="I34" s="1">
        <v>104</v>
      </c>
      <c r="J34" s="1">
        <v>136</v>
      </c>
      <c r="K34" s="1">
        <v>41</v>
      </c>
      <c r="L34" s="13">
        <f>((Data_depth_integrated2[[#This Row],[Depth_of_water_column_to_sediment_layer]]/100)/Data_depth_integrated2[[#This Row],[Total_sampling_time]])</f>
        <v>2.5365853658536587E-2</v>
      </c>
      <c r="M34" s="14">
        <v>4.83</v>
      </c>
      <c r="N34" s="1" t="s">
        <v>356</v>
      </c>
      <c r="O34" s="13">
        <v>4.7533333333333316E-2</v>
      </c>
      <c r="P34" s="1"/>
    </row>
    <row r="35" spans="1:16" x14ac:dyDescent="0.3">
      <c r="A35" s="1" t="s">
        <v>754</v>
      </c>
      <c r="B35" s="2" t="str">
        <f>MID(Data_depth_integrated2[[#This Row],[Code_(plot+location+sub_location+sampling_day+HT/LT)]],1,SEARCH("_",Data_depth_integrated2[[#This Row],[Code_(plot+location+sub_location+sampling_day+HT/LT)]])-1)</f>
        <v>0</v>
      </c>
      <c r="C3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5" s="1" t="str">
        <f>MID(Data_depth_integrated2[[#This Row],[Code_(plot+location+sub_location+sampling_day+HT/LT)]],FIND("_Day",Data_depth_integrated2[[#This Row],[Code_(plot+location+sub_location+sampling_day+HT/LT)]])-1,1)</f>
        <v>2</v>
      </c>
      <c r="E3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35" s="3" t="b">
        <v>0</v>
      </c>
      <c r="G35" s="3" t="b">
        <v>1</v>
      </c>
      <c r="H35" s="3" t="b">
        <v>1</v>
      </c>
      <c r="I35" s="1">
        <v>98</v>
      </c>
      <c r="J35" s="1">
        <v>129</v>
      </c>
      <c r="K35" s="1">
        <v>44</v>
      </c>
      <c r="L35" s="13">
        <f>((Data_depth_integrated2[[#This Row],[Depth_of_water_column_to_sediment_layer]]/100)/Data_depth_integrated2[[#This Row],[Total_sampling_time]])</f>
        <v>2.2272727272727274E-2</v>
      </c>
      <c r="M35" s="14">
        <v>4.82</v>
      </c>
      <c r="N35" s="1" t="s">
        <v>379</v>
      </c>
      <c r="O35" s="13">
        <v>4.9600000000000019E-2</v>
      </c>
      <c r="P35" s="1"/>
    </row>
    <row r="36" spans="1:16" x14ac:dyDescent="0.3">
      <c r="A36" s="1" t="s">
        <v>755</v>
      </c>
      <c r="B36" s="2" t="str">
        <f>MID(Data_depth_integrated2[[#This Row],[Code_(plot+location+sub_location+sampling_day+HT/LT)]],1,SEARCH("_",Data_depth_integrated2[[#This Row],[Code_(plot+location+sub_location+sampling_day+HT/LT)]])-1)</f>
        <v>0</v>
      </c>
      <c r="C3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6" s="1" t="str">
        <f>MID(Data_depth_integrated2[[#This Row],[Code_(plot+location+sub_location+sampling_day+HT/LT)]],FIND("_Day",Data_depth_integrated2[[#This Row],[Code_(plot+location+sub_location+sampling_day+HT/LT)]])-1,1)</f>
        <v>2</v>
      </c>
      <c r="E3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36" s="3" t="b">
        <v>1</v>
      </c>
      <c r="G36" s="3" t="b">
        <v>1</v>
      </c>
      <c r="H36" s="3" t="b">
        <v>1</v>
      </c>
      <c r="I36" s="1">
        <v>104</v>
      </c>
      <c r="J36" s="1">
        <v>136</v>
      </c>
      <c r="K36" s="1">
        <v>45</v>
      </c>
      <c r="L36" s="13">
        <f>((Data_depth_integrated2[[#This Row],[Depth_of_water_column_to_sediment_layer]]/100)/Data_depth_integrated2[[#This Row],[Total_sampling_time]])</f>
        <v>2.3111111111111114E-2</v>
      </c>
      <c r="M36" s="14">
        <v>4.95</v>
      </c>
      <c r="N36" s="1" t="s">
        <v>421</v>
      </c>
      <c r="O36" s="13">
        <v>4.9600000000000019E-2</v>
      </c>
      <c r="P36" s="1"/>
    </row>
    <row r="37" spans="1:16" x14ac:dyDescent="0.3">
      <c r="A37" s="1" t="s">
        <v>756</v>
      </c>
      <c r="B37" s="2" t="str">
        <f>MID(Data_depth_integrated2[[#This Row],[Code_(plot+location+sub_location+sampling_day+HT/LT)]],1,SEARCH("_",Data_depth_integrated2[[#This Row],[Code_(plot+location+sub_location+sampling_day+HT/LT)]])-1)</f>
        <v>0</v>
      </c>
      <c r="C3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7" s="1" t="str">
        <f>MID(Data_depth_integrated2[[#This Row],[Code_(plot+location+sub_location+sampling_day+HT/LT)]],FIND("_Day",Data_depth_integrated2[[#This Row],[Code_(plot+location+sub_location+sampling_day+HT/LT)]])-1,1)</f>
        <v>2</v>
      </c>
      <c r="E3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37" s="3" t="b">
        <v>0</v>
      </c>
      <c r="G37" s="3" t="b">
        <v>1</v>
      </c>
      <c r="H37" s="3" t="b">
        <v>1</v>
      </c>
      <c r="I37" s="1">
        <v>98</v>
      </c>
      <c r="J37" s="1">
        <v>129</v>
      </c>
      <c r="K37" s="1">
        <v>51</v>
      </c>
      <c r="L37" s="13">
        <f>((Data_depth_integrated2[[#This Row],[Depth_of_water_column_to_sediment_layer]]/100)/Data_depth_integrated2[[#This Row],[Total_sampling_time]])</f>
        <v>1.9215686274509803E-2</v>
      </c>
      <c r="M37" s="14">
        <v>4.78</v>
      </c>
      <c r="N37" s="1" t="s">
        <v>391</v>
      </c>
      <c r="O37" s="13">
        <v>7.8099999999999989E-2</v>
      </c>
      <c r="P37" s="1"/>
    </row>
    <row r="38" spans="1:16" x14ac:dyDescent="0.3">
      <c r="A38" s="1" t="s">
        <v>757</v>
      </c>
      <c r="B38" s="2" t="str">
        <f>MID(Data_depth_integrated2[[#This Row],[Code_(plot+location+sub_location+sampling_day+HT/LT)]],1,SEARCH("_",Data_depth_integrated2[[#This Row],[Code_(plot+location+sub_location+sampling_day+HT/LT)]])-1)</f>
        <v>0</v>
      </c>
      <c r="C3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8" s="1" t="str">
        <f>MID(Data_depth_integrated2[[#This Row],[Code_(plot+location+sub_location+sampling_day+HT/LT)]],FIND("_Day",Data_depth_integrated2[[#This Row],[Code_(plot+location+sub_location+sampling_day+HT/LT)]])-1,1)</f>
        <v>2</v>
      </c>
      <c r="E3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38" s="3" t="b">
        <v>1</v>
      </c>
      <c r="G38" s="3" t="b">
        <v>1</v>
      </c>
      <c r="H38" s="3" t="b">
        <v>1</v>
      </c>
      <c r="I38" s="1">
        <v>104</v>
      </c>
      <c r="J38" s="1">
        <v>136</v>
      </c>
      <c r="K38" s="1">
        <v>53</v>
      </c>
      <c r="L38" s="13">
        <f>((Data_depth_integrated2[[#This Row],[Depth_of_water_column_to_sediment_layer]]/100)/Data_depth_integrated2[[#This Row],[Total_sampling_time]])</f>
        <v>1.9622641509433963E-2</v>
      </c>
      <c r="M38" s="14">
        <v>4.8</v>
      </c>
      <c r="N38" s="1" t="s">
        <v>396</v>
      </c>
      <c r="O38" s="13">
        <v>0.3777833333333333</v>
      </c>
      <c r="P38" s="1"/>
    </row>
    <row r="39" spans="1:16" x14ac:dyDescent="0.3">
      <c r="A39" s="1" t="s">
        <v>758</v>
      </c>
      <c r="B39" s="2" t="str">
        <f>MID(Data_depth_integrated2[[#This Row],[Code_(plot+location+sub_location+sampling_day+HT/LT)]],1,SEARCH("_",Data_depth_integrated2[[#This Row],[Code_(plot+location+sub_location+sampling_day+HT/LT)]])-1)</f>
        <v>0</v>
      </c>
      <c r="C3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B_middle</v>
      </c>
      <c r="D39" s="1" t="str">
        <f>MID(Data_depth_integrated2[[#This Row],[Code_(plot+location+sub_location+sampling_day+HT/LT)]],FIND("_Day",Data_depth_integrated2[[#This Row],[Code_(plot+location+sub_location+sampling_day+HT/LT)]])-1,1)</f>
        <v>2</v>
      </c>
      <c r="E3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39" s="3" t="b">
        <v>0</v>
      </c>
      <c r="G39" s="3" t="b">
        <v>1</v>
      </c>
      <c r="H39" s="3" t="b">
        <v>1</v>
      </c>
      <c r="I39" s="1">
        <v>98</v>
      </c>
      <c r="J39" s="1">
        <v>129</v>
      </c>
      <c r="K39" s="1">
        <v>57</v>
      </c>
      <c r="L39" s="13">
        <f>((Data_depth_integrated2[[#This Row],[Depth_of_water_column_to_sediment_layer]]/100)/Data_depth_integrated2[[#This Row],[Total_sampling_time]])</f>
        <v>1.719298245614035E-2</v>
      </c>
      <c r="M39" s="14">
        <v>5.55</v>
      </c>
      <c r="N39" s="1" t="s">
        <v>392</v>
      </c>
      <c r="O39" s="13">
        <v>5.2350000000000008E-2</v>
      </c>
      <c r="P39" s="1"/>
    </row>
    <row r="40" spans="1:16" x14ac:dyDescent="0.3">
      <c r="A40" s="1" t="s">
        <v>759</v>
      </c>
      <c r="B40" s="2" t="str">
        <f>MID(Data_depth_integrated2[[#This Row],[Code_(plot+location+sub_location+sampling_day+HT/LT)]],1,SEARCH("_",Data_depth_integrated2[[#This Row],[Code_(plot+location+sub_location+sampling_day+HT/LT)]])-1)</f>
        <v>14</v>
      </c>
      <c r="C4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0" s="1" t="str">
        <f>MID(Data_depth_integrated2[[#This Row],[Code_(plot+location+sub_location+sampling_day+HT/LT)]],FIND("_Day",Data_depth_integrated2[[#This Row],[Code_(plot+location+sub_location+sampling_day+HT/LT)]])-1,1)</f>
        <v>1</v>
      </c>
      <c r="E4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40" s="3" t="b">
        <v>1</v>
      </c>
      <c r="G40" s="3" t="b">
        <v>1</v>
      </c>
      <c r="H40" s="3" t="b">
        <v>1</v>
      </c>
      <c r="I40" s="1">
        <v>66</v>
      </c>
      <c r="J40" s="1">
        <v>68</v>
      </c>
      <c r="K40" s="1">
        <v>39</v>
      </c>
      <c r="L40" s="13">
        <f>((Data_depth_integrated2[[#This Row],[Depth_of_water_column_to_sediment_layer]]/100)/Data_depth_integrated2[[#This Row],[Total_sampling_time]])</f>
        <v>1.6923076923076923E-2</v>
      </c>
      <c r="M40" s="14">
        <v>5.98</v>
      </c>
      <c r="N40" s="1" t="s">
        <v>274</v>
      </c>
      <c r="O40" s="13">
        <v>9.1500000000000012E-2</v>
      </c>
      <c r="P40" s="1"/>
    </row>
    <row r="41" spans="1:16" x14ac:dyDescent="0.3">
      <c r="A41" s="1" t="s">
        <v>760</v>
      </c>
      <c r="B41" s="2" t="str">
        <f>MID(Data_depth_integrated2[[#This Row],[Code_(plot+location+sub_location+sampling_day+HT/LT)]],1,SEARCH("_",Data_depth_integrated2[[#This Row],[Code_(plot+location+sub_location+sampling_day+HT/LT)]])-1)</f>
        <v>14</v>
      </c>
      <c r="C4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1" s="1" t="str">
        <f>MID(Data_depth_integrated2[[#This Row],[Code_(plot+location+sub_location+sampling_day+HT/LT)]],FIND("_Day",Data_depth_integrated2[[#This Row],[Code_(plot+location+sub_location+sampling_day+HT/LT)]])-1,1)</f>
        <v>1</v>
      </c>
      <c r="E4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41" s="3" t="b">
        <v>0</v>
      </c>
      <c r="G41" s="3" t="b">
        <v>1</v>
      </c>
      <c r="H41" s="3" t="b">
        <v>1</v>
      </c>
      <c r="I41" s="1">
        <v>59</v>
      </c>
      <c r="J41" s="1">
        <v>63</v>
      </c>
      <c r="K41" s="1">
        <v>54</v>
      </c>
      <c r="L41" s="13">
        <f>((Data_depth_integrated2[[#This Row],[Depth_of_water_column_to_sediment_layer]]/100)/Data_depth_integrated2[[#This Row],[Total_sampling_time]])</f>
        <v>1.0925925925925926E-2</v>
      </c>
      <c r="M41" s="14">
        <v>5.44</v>
      </c>
      <c r="N41" s="1" t="s">
        <v>357</v>
      </c>
      <c r="O41" s="13">
        <v>6.3516666666666666E-2</v>
      </c>
      <c r="P41" s="1"/>
    </row>
    <row r="42" spans="1:16" x14ac:dyDescent="0.3">
      <c r="A42" s="1" t="s">
        <v>761</v>
      </c>
      <c r="B42" s="2" t="str">
        <f>MID(Data_depth_integrated2[[#This Row],[Code_(plot+location+sub_location+sampling_day+HT/LT)]],1,SEARCH("_",Data_depth_integrated2[[#This Row],[Code_(plot+location+sub_location+sampling_day+HT/LT)]])-1)</f>
        <v>14</v>
      </c>
      <c r="C4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2" s="1" t="str">
        <f>MID(Data_depth_integrated2[[#This Row],[Code_(plot+location+sub_location+sampling_day+HT/LT)]],FIND("_Day",Data_depth_integrated2[[#This Row],[Code_(plot+location+sub_location+sampling_day+HT/LT)]])-1,1)</f>
        <v>1</v>
      </c>
      <c r="E4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42" s="3" t="b">
        <v>1</v>
      </c>
      <c r="G42" s="3" t="b">
        <v>1</v>
      </c>
      <c r="H42" s="3" t="b">
        <v>1</v>
      </c>
      <c r="I42" s="1">
        <v>66</v>
      </c>
      <c r="J42" s="1">
        <v>68</v>
      </c>
      <c r="K42" s="1">
        <v>50</v>
      </c>
      <c r="L42" s="13">
        <f>((Data_depth_integrated2[[#This Row],[Depth_of_water_column_to_sediment_layer]]/100)/Data_depth_integrated2[[#This Row],[Total_sampling_time]])</f>
        <v>1.32E-2</v>
      </c>
      <c r="M42" s="14">
        <v>5.01</v>
      </c>
      <c r="N42" s="1" t="s">
        <v>43</v>
      </c>
      <c r="O42" s="13">
        <v>4.9250000000000002E-2</v>
      </c>
      <c r="P42" s="1"/>
    </row>
    <row r="43" spans="1:16" x14ac:dyDescent="0.3">
      <c r="A43" s="1" t="s">
        <v>762</v>
      </c>
      <c r="B43" s="2" t="str">
        <f>MID(Data_depth_integrated2[[#This Row],[Code_(plot+location+sub_location+sampling_day+HT/LT)]],1,SEARCH("_",Data_depth_integrated2[[#This Row],[Code_(plot+location+sub_location+sampling_day+HT/LT)]])-1)</f>
        <v>14</v>
      </c>
      <c r="C4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3" s="1" t="str">
        <f>MID(Data_depth_integrated2[[#This Row],[Code_(plot+location+sub_location+sampling_day+HT/LT)]],FIND("_Day",Data_depth_integrated2[[#This Row],[Code_(plot+location+sub_location+sampling_day+HT/LT)]])-1,1)</f>
        <v>1</v>
      </c>
      <c r="E4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43" s="3" t="b">
        <v>0</v>
      </c>
      <c r="G43" s="3" t="b">
        <v>1</v>
      </c>
      <c r="H43" s="3" t="b">
        <v>1</v>
      </c>
      <c r="I43" s="1">
        <v>59</v>
      </c>
      <c r="J43" s="1">
        <v>63</v>
      </c>
      <c r="K43" s="1">
        <v>48</v>
      </c>
      <c r="L43" s="13">
        <f>((Data_depth_integrated2[[#This Row],[Depth_of_water_column_to_sediment_layer]]/100)/Data_depth_integrated2[[#This Row],[Total_sampling_time]])</f>
        <v>1.2291666666666666E-2</v>
      </c>
      <c r="M43" s="14">
        <v>4.83</v>
      </c>
      <c r="N43" s="1" t="s">
        <v>397</v>
      </c>
      <c r="O43" s="13">
        <v>9.1399999999999981E-2</v>
      </c>
      <c r="P43" s="1"/>
    </row>
    <row r="44" spans="1:16" x14ac:dyDescent="0.3">
      <c r="A44" s="1" t="s">
        <v>763</v>
      </c>
      <c r="B44" s="2" t="str">
        <f>MID(Data_depth_integrated2[[#This Row],[Code_(plot+location+sub_location+sampling_day+HT/LT)]],1,SEARCH("_",Data_depth_integrated2[[#This Row],[Code_(plot+location+sub_location+sampling_day+HT/LT)]])-1)</f>
        <v>14</v>
      </c>
      <c r="C4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4" s="1" t="str">
        <f>MID(Data_depth_integrated2[[#This Row],[Code_(plot+location+sub_location+sampling_day+HT/LT)]],FIND("_Day",Data_depth_integrated2[[#This Row],[Code_(plot+location+sub_location+sampling_day+HT/LT)]])-1,1)</f>
        <v>1</v>
      </c>
      <c r="E4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44" s="3" t="b">
        <v>1</v>
      </c>
      <c r="G44" s="3" t="b">
        <v>1</v>
      </c>
      <c r="H44" s="3" t="b">
        <v>1</v>
      </c>
      <c r="I44" s="1">
        <v>66</v>
      </c>
      <c r="J44" s="1">
        <v>68</v>
      </c>
      <c r="K44" s="1">
        <v>53</v>
      </c>
      <c r="L44" s="13">
        <f>((Data_depth_integrated2[[#This Row],[Depth_of_water_column_to_sediment_layer]]/100)/Data_depth_integrated2[[#This Row],[Total_sampling_time]])</f>
        <v>1.2452830188679246E-2</v>
      </c>
      <c r="M44" s="14">
        <v>5.0599999999999996</v>
      </c>
      <c r="N44" s="1" t="s">
        <v>308</v>
      </c>
      <c r="O44" s="13">
        <v>0.10983333333333332</v>
      </c>
      <c r="P44" s="1"/>
    </row>
    <row r="45" spans="1:16" x14ac:dyDescent="0.3">
      <c r="A45" s="1" t="s">
        <v>764</v>
      </c>
      <c r="B45" s="2" t="str">
        <f>MID(Data_depth_integrated2[[#This Row],[Code_(plot+location+sub_location+sampling_day+HT/LT)]],1,SEARCH("_",Data_depth_integrated2[[#This Row],[Code_(plot+location+sub_location+sampling_day+HT/LT)]])-1)</f>
        <v>14</v>
      </c>
      <c r="C4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5" s="1" t="str">
        <f>MID(Data_depth_integrated2[[#This Row],[Code_(plot+location+sub_location+sampling_day+HT/LT)]],FIND("_Day",Data_depth_integrated2[[#This Row],[Code_(plot+location+sub_location+sampling_day+HT/LT)]])-1,1)</f>
        <v>1</v>
      </c>
      <c r="E4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45" s="3" t="b">
        <v>0</v>
      </c>
      <c r="G45" s="3" t="b">
        <v>1</v>
      </c>
      <c r="H45" s="3" t="b">
        <v>1</v>
      </c>
      <c r="I45" s="1">
        <v>59</v>
      </c>
      <c r="J45" s="1">
        <v>63</v>
      </c>
      <c r="K45" s="1">
        <v>58</v>
      </c>
      <c r="L45" s="13">
        <f>((Data_depth_integrated2[[#This Row],[Depth_of_water_column_to_sediment_layer]]/100)/Data_depth_integrated2[[#This Row],[Total_sampling_time]])</f>
        <v>1.0172413793103447E-2</v>
      </c>
      <c r="M45" s="14">
        <v>6.02</v>
      </c>
      <c r="N45" s="1" t="s">
        <v>47</v>
      </c>
      <c r="O45" s="13">
        <v>2.2716666666666677E-2</v>
      </c>
      <c r="P45" s="1"/>
    </row>
    <row r="46" spans="1:16" x14ac:dyDescent="0.3">
      <c r="A46" s="1" t="s">
        <v>765</v>
      </c>
      <c r="B46" s="2" t="str">
        <f>MID(Data_depth_integrated2[[#This Row],[Code_(plot+location+sub_location+sampling_day+HT/LT)]],1,SEARCH("_",Data_depth_integrated2[[#This Row],[Code_(plot+location+sub_location+sampling_day+HT/LT)]])-1)</f>
        <v>14</v>
      </c>
      <c r="C4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6" s="1" t="str">
        <f>MID(Data_depth_integrated2[[#This Row],[Code_(plot+location+sub_location+sampling_day+HT/LT)]],FIND("_Day",Data_depth_integrated2[[#This Row],[Code_(plot+location+sub_location+sampling_day+HT/LT)]])-1,1)</f>
        <v>2</v>
      </c>
      <c r="E4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46" s="3" t="b">
        <v>1</v>
      </c>
      <c r="G46" s="3" t="b">
        <v>1</v>
      </c>
      <c r="H46" s="3" t="b">
        <v>1</v>
      </c>
      <c r="I46" s="1">
        <v>78</v>
      </c>
      <c r="J46" s="1">
        <v>83</v>
      </c>
      <c r="K46" s="1">
        <v>53</v>
      </c>
      <c r="L46" s="13">
        <f>((Data_depth_integrated2[[#This Row],[Depth_of_water_column_to_sediment_layer]]/100)/Data_depth_integrated2[[#This Row],[Total_sampling_time]])</f>
        <v>1.4716981132075473E-2</v>
      </c>
      <c r="M46" s="14">
        <v>5.01</v>
      </c>
      <c r="N46" s="1" t="s">
        <v>269</v>
      </c>
      <c r="O46" s="13">
        <v>6.0350000000000015E-2</v>
      </c>
      <c r="P46" s="1"/>
    </row>
    <row r="47" spans="1:16" x14ac:dyDescent="0.3">
      <c r="A47" s="1" t="s">
        <v>766</v>
      </c>
      <c r="B47" s="2" t="str">
        <f>MID(Data_depth_integrated2[[#This Row],[Code_(plot+location+sub_location+sampling_day+HT/LT)]],1,SEARCH("_",Data_depth_integrated2[[#This Row],[Code_(plot+location+sub_location+sampling_day+HT/LT)]])-1)</f>
        <v>14</v>
      </c>
      <c r="C4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7" s="1" t="str">
        <f>MID(Data_depth_integrated2[[#This Row],[Code_(plot+location+sub_location+sampling_day+HT/LT)]],FIND("_Day",Data_depth_integrated2[[#This Row],[Code_(plot+location+sub_location+sampling_day+HT/LT)]])-1,1)</f>
        <v>2</v>
      </c>
      <c r="E4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47" s="3" t="b">
        <v>0</v>
      </c>
      <c r="G47" s="3" t="b">
        <v>1</v>
      </c>
      <c r="H47" s="3" t="b">
        <v>1</v>
      </c>
      <c r="I47" s="1">
        <v>73</v>
      </c>
      <c r="J47" s="1">
        <v>78</v>
      </c>
      <c r="K47" s="1">
        <v>39</v>
      </c>
      <c r="L47" s="13">
        <f>((Data_depth_integrated2[[#This Row],[Depth_of_water_column_to_sediment_layer]]/100)/Data_depth_integrated2[[#This Row],[Total_sampling_time]])</f>
        <v>1.8717948717948716E-2</v>
      </c>
      <c r="M47" s="14">
        <v>4.9400000000000004</v>
      </c>
      <c r="N47" s="1" t="s">
        <v>68</v>
      </c>
      <c r="O47" s="13">
        <v>3.0083333333333323E-2</v>
      </c>
      <c r="P47" s="1"/>
    </row>
    <row r="48" spans="1:16" x14ac:dyDescent="0.3">
      <c r="A48" s="1" t="s">
        <v>767</v>
      </c>
      <c r="B48" s="2" t="str">
        <f>MID(Data_depth_integrated2[[#This Row],[Code_(plot+location+sub_location+sampling_day+HT/LT)]],1,SEARCH("_",Data_depth_integrated2[[#This Row],[Code_(plot+location+sub_location+sampling_day+HT/LT)]])-1)</f>
        <v>14</v>
      </c>
      <c r="C4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8" s="1" t="str">
        <f>MID(Data_depth_integrated2[[#This Row],[Code_(plot+location+sub_location+sampling_day+HT/LT)]],FIND("_Day",Data_depth_integrated2[[#This Row],[Code_(plot+location+sub_location+sampling_day+HT/LT)]])-1,1)</f>
        <v>2</v>
      </c>
      <c r="E4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48" s="3" t="b">
        <v>1</v>
      </c>
      <c r="G48" s="3" t="b">
        <v>1</v>
      </c>
      <c r="H48" s="3" t="b">
        <v>1</v>
      </c>
      <c r="I48" s="1">
        <v>78</v>
      </c>
      <c r="J48" s="1">
        <v>83</v>
      </c>
      <c r="K48" s="1">
        <v>60</v>
      </c>
      <c r="L48" s="13">
        <f>((Data_depth_integrated2[[#This Row],[Depth_of_water_column_to_sediment_layer]]/100)/Data_depth_integrated2[[#This Row],[Total_sampling_time]])</f>
        <v>1.3000000000000001E-2</v>
      </c>
      <c r="M48" s="14">
        <v>4.84</v>
      </c>
      <c r="N48" s="1" t="s">
        <v>32</v>
      </c>
      <c r="O48" s="13">
        <v>2.6283333333333325E-2</v>
      </c>
      <c r="P48" s="1"/>
    </row>
    <row r="49" spans="1:16" x14ac:dyDescent="0.3">
      <c r="A49" s="1" t="s">
        <v>768</v>
      </c>
      <c r="B49" s="2" t="str">
        <f>MID(Data_depth_integrated2[[#This Row],[Code_(plot+location+sub_location+sampling_day+HT/LT)]],1,SEARCH("_",Data_depth_integrated2[[#This Row],[Code_(plot+location+sub_location+sampling_day+HT/LT)]])-1)</f>
        <v>14</v>
      </c>
      <c r="C4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49" s="1" t="str">
        <f>MID(Data_depth_integrated2[[#This Row],[Code_(plot+location+sub_location+sampling_day+HT/LT)]],FIND("_Day",Data_depth_integrated2[[#This Row],[Code_(plot+location+sub_location+sampling_day+HT/LT)]])-1,1)</f>
        <v>2</v>
      </c>
      <c r="E4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49" s="3" t="b">
        <v>0</v>
      </c>
      <c r="G49" s="3" t="b">
        <v>1</v>
      </c>
      <c r="H49" s="3" t="b">
        <v>1</v>
      </c>
      <c r="I49" s="1">
        <v>73</v>
      </c>
      <c r="J49" s="1">
        <v>78</v>
      </c>
      <c r="K49" s="1">
        <v>39</v>
      </c>
      <c r="L49" s="13">
        <f>((Data_depth_integrated2[[#This Row],[Depth_of_water_column_to_sediment_layer]]/100)/Data_depth_integrated2[[#This Row],[Total_sampling_time]])</f>
        <v>1.8717948717948716E-2</v>
      </c>
      <c r="M49" s="14">
        <v>5.22</v>
      </c>
      <c r="N49" s="1" t="s">
        <v>114</v>
      </c>
      <c r="O49" s="13">
        <v>0.19208333333333333</v>
      </c>
      <c r="P49" s="1"/>
    </row>
    <row r="50" spans="1:16" x14ac:dyDescent="0.3">
      <c r="A50" s="1" t="s">
        <v>769</v>
      </c>
      <c r="B50" s="2" t="str">
        <f>MID(Data_depth_integrated2[[#This Row],[Code_(plot+location+sub_location+sampling_day+HT/LT)]],1,SEARCH("_",Data_depth_integrated2[[#This Row],[Code_(plot+location+sub_location+sampling_day+HT/LT)]])-1)</f>
        <v>14</v>
      </c>
      <c r="C5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50" s="1" t="str">
        <f>MID(Data_depth_integrated2[[#This Row],[Code_(plot+location+sub_location+sampling_day+HT/LT)]],FIND("_Day",Data_depth_integrated2[[#This Row],[Code_(plot+location+sub_location+sampling_day+HT/LT)]])-1,1)</f>
        <v>2</v>
      </c>
      <c r="E5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50" s="3" t="b">
        <v>1</v>
      </c>
      <c r="G50" s="3" t="b">
        <v>1</v>
      </c>
      <c r="H50" s="3" t="b">
        <v>1</v>
      </c>
      <c r="I50" s="1">
        <v>78</v>
      </c>
      <c r="J50" s="1">
        <v>83</v>
      </c>
      <c r="K50" s="1">
        <v>45</v>
      </c>
      <c r="L50" s="13">
        <f>((Data_depth_integrated2[[#This Row],[Depth_of_water_column_to_sediment_layer]]/100)/Data_depth_integrated2[[#This Row],[Total_sampling_time]])</f>
        <v>1.7333333333333333E-2</v>
      </c>
      <c r="M50" s="14">
        <v>5.28</v>
      </c>
      <c r="N50" s="1" t="s">
        <v>105</v>
      </c>
      <c r="O50" s="13">
        <v>3.5883333333333337E-2</v>
      </c>
      <c r="P50" s="1"/>
    </row>
    <row r="51" spans="1:16" x14ac:dyDescent="0.3">
      <c r="A51" s="1" t="s">
        <v>770</v>
      </c>
      <c r="B51" s="2" t="str">
        <f>MID(Data_depth_integrated2[[#This Row],[Code_(plot+location+sub_location+sampling_day+HT/LT)]],1,SEARCH("_",Data_depth_integrated2[[#This Row],[Code_(plot+location+sub_location+sampling_day+HT/LT)]])-1)</f>
        <v>14</v>
      </c>
      <c r="C5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51" s="1" t="str">
        <f>MID(Data_depth_integrated2[[#This Row],[Code_(plot+location+sub_location+sampling_day+HT/LT)]],FIND("_Day",Data_depth_integrated2[[#This Row],[Code_(plot+location+sub_location+sampling_day+HT/LT)]])-1,1)</f>
        <v>2</v>
      </c>
      <c r="E5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51" s="3" t="b">
        <v>0</v>
      </c>
      <c r="G51" s="3" t="b">
        <v>1</v>
      </c>
      <c r="H51" s="3" t="b">
        <v>1</v>
      </c>
      <c r="I51" s="1">
        <v>73</v>
      </c>
      <c r="J51" s="1">
        <v>78</v>
      </c>
      <c r="K51" s="1">
        <v>41</v>
      </c>
      <c r="L51" s="13">
        <f>((Data_depth_integrated2[[#This Row],[Depth_of_water_column_to_sediment_layer]]/100)/Data_depth_integrated2[[#This Row],[Total_sampling_time]])</f>
        <v>1.7804878048780486E-2</v>
      </c>
      <c r="M51" s="14">
        <v>5.16</v>
      </c>
      <c r="N51" s="1" t="s">
        <v>319</v>
      </c>
      <c r="O51" s="13">
        <v>2.2716666666666677E-2</v>
      </c>
      <c r="P51" s="1"/>
    </row>
    <row r="52" spans="1:16" x14ac:dyDescent="0.3">
      <c r="A52" s="1" t="s">
        <v>771</v>
      </c>
      <c r="B52" s="2" t="str">
        <f>MID(Data_depth_integrated2[[#This Row],[Code_(plot+location+sub_location+sampling_day+HT/LT)]],1,SEARCH("_",Data_depth_integrated2[[#This Row],[Code_(plot+location+sub_location+sampling_day+HT/LT)]])-1)</f>
        <v>14</v>
      </c>
      <c r="C5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2" s="1" t="str">
        <f>MID(Data_depth_integrated2[[#This Row],[Code_(plot+location+sub_location+sampling_day+HT/LT)]],FIND("_Day",Data_depth_integrated2[[#This Row],[Code_(plot+location+sub_location+sampling_day+HT/LT)]])-1,1)</f>
        <v>1</v>
      </c>
      <c r="E5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52" s="3" t="b">
        <v>1</v>
      </c>
      <c r="G52" s="3" t="b">
        <v>1</v>
      </c>
      <c r="H52" s="3" t="b">
        <v>1</v>
      </c>
      <c r="I52" s="1">
        <v>66</v>
      </c>
      <c r="J52" s="1">
        <v>81</v>
      </c>
      <c r="K52" s="1">
        <v>43</v>
      </c>
      <c r="L52" s="13">
        <f>((Data_depth_integrated2[[#This Row],[Depth_of_water_column_to_sediment_layer]]/100)/Data_depth_integrated2[[#This Row],[Total_sampling_time]])</f>
        <v>1.5348837209302326E-2</v>
      </c>
      <c r="M52" s="14">
        <v>4.8600000000000003</v>
      </c>
      <c r="N52" s="1" t="s">
        <v>385</v>
      </c>
      <c r="O52" s="13">
        <v>0.3777833333333333</v>
      </c>
      <c r="P52" s="1"/>
    </row>
    <row r="53" spans="1:16" x14ac:dyDescent="0.3">
      <c r="A53" s="1" t="s">
        <v>772</v>
      </c>
      <c r="B53" s="2" t="str">
        <f>MID(Data_depth_integrated2[[#This Row],[Code_(plot+location+sub_location+sampling_day+HT/LT)]],1,SEARCH("_",Data_depth_integrated2[[#This Row],[Code_(plot+location+sub_location+sampling_day+HT/LT)]])-1)</f>
        <v>14</v>
      </c>
      <c r="C5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3" s="1" t="str">
        <f>MID(Data_depth_integrated2[[#This Row],[Code_(plot+location+sub_location+sampling_day+HT/LT)]],FIND("_Day",Data_depth_integrated2[[#This Row],[Code_(plot+location+sub_location+sampling_day+HT/LT)]])-1,1)</f>
        <v>1</v>
      </c>
      <c r="E5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53" s="3" t="b">
        <v>0</v>
      </c>
      <c r="G53" s="3" t="b">
        <v>1</v>
      </c>
      <c r="H53" s="3" t="b">
        <v>1</v>
      </c>
      <c r="I53" s="1">
        <v>59</v>
      </c>
      <c r="J53" s="1">
        <v>72</v>
      </c>
      <c r="K53" s="1">
        <v>44</v>
      </c>
      <c r="L53" s="13">
        <f>((Data_depth_integrated2[[#This Row],[Depth_of_water_column_to_sediment_layer]]/100)/Data_depth_integrated2[[#This Row],[Total_sampling_time]])</f>
        <v>1.3409090909090909E-2</v>
      </c>
      <c r="M53" s="14">
        <v>5.15</v>
      </c>
      <c r="N53" s="1" t="s">
        <v>432</v>
      </c>
      <c r="O53" s="13">
        <v>7.8099999999999989E-2</v>
      </c>
      <c r="P53" s="1"/>
    </row>
    <row r="54" spans="1:16" x14ac:dyDescent="0.3">
      <c r="A54" s="1" t="s">
        <v>773</v>
      </c>
      <c r="B54" s="2" t="str">
        <f>MID(Data_depth_integrated2[[#This Row],[Code_(plot+location+sub_location+sampling_day+HT/LT)]],1,SEARCH("_",Data_depth_integrated2[[#This Row],[Code_(plot+location+sub_location+sampling_day+HT/LT)]])-1)</f>
        <v>14</v>
      </c>
      <c r="C5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4" s="1" t="str">
        <f>MID(Data_depth_integrated2[[#This Row],[Code_(plot+location+sub_location+sampling_day+HT/LT)]],FIND("_Day",Data_depth_integrated2[[#This Row],[Code_(plot+location+sub_location+sampling_day+HT/LT)]])-1,1)</f>
        <v>1</v>
      </c>
      <c r="E5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54" s="3" t="b">
        <v>1</v>
      </c>
      <c r="G54" s="3" t="b">
        <v>1</v>
      </c>
      <c r="H54" s="3" t="b">
        <v>1</v>
      </c>
      <c r="I54" s="1">
        <v>66</v>
      </c>
      <c r="J54" s="1">
        <v>81</v>
      </c>
      <c r="K54" s="1">
        <v>56</v>
      </c>
      <c r="L54" s="13">
        <f>((Data_depth_integrated2[[#This Row],[Depth_of_water_column_to_sediment_layer]]/100)/Data_depth_integrated2[[#This Row],[Total_sampling_time]])</f>
        <v>1.1785714285714287E-2</v>
      </c>
      <c r="M54" s="14">
        <v>5.93</v>
      </c>
      <c r="N54" s="1" t="s">
        <v>296</v>
      </c>
      <c r="O54" s="13">
        <v>6.2000000000000111E-3</v>
      </c>
      <c r="P54" s="1"/>
    </row>
    <row r="55" spans="1:16" x14ac:dyDescent="0.3">
      <c r="A55" s="1" t="s">
        <v>774</v>
      </c>
      <c r="B55" s="2" t="str">
        <f>MID(Data_depth_integrated2[[#This Row],[Code_(plot+location+sub_location+sampling_day+HT/LT)]],1,SEARCH("_",Data_depth_integrated2[[#This Row],[Code_(plot+location+sub_location+sampling_day+HT/LT)]])-1)</f>
        <v>14</v>
      </c>
      <c r="C5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5" s="1" t="str">
        <f>MID(Data_depth_integrated2[[#This Row],[Code_(plot+location+sub_location+sampling_day+HT/LT)]],FIND("_Day",Data_depth_integrated2[[#This Row],[Code_(plot+location+sub_location+sampling_day+HT/LT)]])-1,1)</f>
        <v>1</v>
      </c>
      <c r="E5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55" s="3" t="b">
        <v>0</v>
      </c>
      <c r="G55" s="3" t="b">
        <v>1</v>
      </c>
      <c r="H55" s="3" t="b">
        <v>1</v>
      </c>
      <c r="I55" s="1">
        <v>59</v>
      </c>
      <c r="J55" s="1">
        <v>72</v>
      </c>
      <c r="K55" s="1">
        <v>49</v>
      </c>
      <c r="L55" s="13">
        <f>((Data_depth_integrated2[[#This Row],[Depth_of_water_column_to_sediment_layer]]/100)/Data_depth_integrated2[[#This Row],[Total_sampling_time]])</f>
        <v>1.2040816326530611E-2</v>
      </c>
      <c r="M55" s="14">
        <v>5.07</v>
      </c>
      <c r="N55" s="1" t="s">
        <v>417</v>
      </c>
      <c r="O55" s="13">
        <v>0.3777833333333333</v>
      </c>
      <c r="P55" s="1"/>
    </row>
    <row r="56" spans="1:16" x14ac:dyDescent="0.3">
      <c r="A56" s="1" t="s">
        <v>775</v>
      </c>
      <c r="B56" s="2" t="str">
        <f>MID(Data_depth_integrated2[[#This Row],[Code_(plot+location+sub_location+sampling_day+HT/LT)]],1,SEARCH("_",Data_depth_integrated2[[#This Row],[Code_(plot+location+sub_location+sampling_day+HT/LT)]])-1)</f>
        <v>14</v>
      </c>
      <c r="C5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6" s="1" t="str">
        <f>MID(Data_depth_integrated2[[#This Row],[Code_(plot+location+sub_location+sampling_day+HT/LT)]],FIND("_Day",Data_depth_integrated2[[#This Row],[Code_(plot+location+sub_location+sampling_day+HT/LT)]])-1,1)</f>
        <v>1</v>
      </c>
      <c r="E5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56" s="3" t="b">
        <v>1</v>
      </c>
      <c r="G56" s="3" t="b">
        <v>1</v>
      </c>
      <c r="H56" s="3" t="b">
        <v>1</v>
      </c>
      <c r="I56" s="1">
        <v>66</v>
      </c>
      <c r="J56" s="1">
        <v>81</v>
      </c>
      <c r="K56" s="1">
        <v>51</v>
      </c>
      <c r="L56" s="13">
        <f>((Data_depth_integrated2[[#This Row],[Depth_of_water_column_to_sediment_layer]]/100)/Data_depth_integrated2[[#This Row],[Total_sampling_time]])</f>
        <v>1.2941176470588235E-2</v>
      </c>
      <c r="M56" s="14">
        <v>5.32</v>
      </c>
      <c r="N56" s="1" t="s">
        <v>347</v>
      </c>
      <c r="O56" s="13">
        <v>7.8099999999999989E-2</v>
      </c>
      <c r="P56" s="1"/>
    </row>
    <row r="57" spans="1:16" x14ac:dyDescent="0.3">
      <c r="A57" s="1" t="s">
        <v>776</v>
      </c>
      <c r="B57" s="2" t="str">
        <f>MID(Data_depth_integrated2[[#This Row],[Code_(plot+location+sub_location+sampling_day+HT/LT)]],1,SEARCH("_",Data_depth_integrated2[[#This Row],[Code_(plot+location+sub_location+sampling_day+HT/LT)]])-1)</f>
        <v>14</v>
      </c>
      <c r="C5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7" s="1" t="str">
        <f>MID(Data_depth_integrated2[[#This Row],[Code_(plot+location+sub_location+sampling_day+HT/LT)]],FIND("_Day",Data_depth_integrated2[[#This Row],[Code_(plot+location+sub_location+sampling_day+HT/LT)]])-1,1)</f>
        <v>1</v>
      </c>
      <c r="E5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57" s="3" t="b">
        <v>0</v>
      </c>
      <c r="G57" s="3" t="b">
        <v>1</v>
      </c>
      <c r="H57" s="3" t="b">
        <v>1</v>
      </c>
      <c r="I57" s="1">
        <v>59</v>
      </c>
      <c r="J57" s="1">
        <v>72</v>
      </c>
      <c r="K57" s="1">
        <v>60</v>
      </c>
      <c r="L57" s="13">
        <f>((Data_depth_integrated2[[#This Row],[Depth_of_water_column_to_sediment_layer]]/100)/Data_depth_integrated2[[#This Row],[Total_sampling_time]])</f>
        <v>9.8333333333333328E-3</v>
      </c>
      <c r="M57" s="14">
        <v>5.25</v>
      </c>
      <c r="N57" s="1" t="s">
        <v>64</v>
      </c>
      <c r="O57" s="13">
        <v>5.6600000000000025E-2</v>
      </c>
      <c r="P57" s="1"/>
    </row>
    <row r="58" spans="1:16" x14ac:dyDescent="0.3">
      <c r="A58" s="1" t="s">
        <v>215</v>
      </c>
      <c r="B58" s="2" t="str">
        <f>MID(Data_depth_integrated2[[#This Row],[Code_(plot+location+sub_location+sampling_day+HT/LT)]],1,SEARCH("_",Data_depth_integrated2[[#This Row],[Code_(plot+location+sub_location+sampling_day+HT/LT)]])-1)</f>
        <v>14</v>
      </c>
      <c r="C5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8" s="1" t="str">
        <f>MID(Data_depth_integrated2[[#This Row],[Code_(plot+location+sub_location+sampling_day+HT/LT)]],FIND("_Day",Data_depth_integrated2[[#This Row],[Code_(plot+location+sub_location+sampling_day+HT/LT)]])-1,1)</f>
        <v>2</v>
      </c>
      <c r="E5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58" s="3" t="b">
        <v>1</v>
      </c>
      <c r="G58" s="3" t="b">
        <v>1</v>
      </c>
      <c r="H58" s="3" t="b">
        <v>1</v>
      </c>
      <c r="I58" s="1">
        <v>109</v>
      </c>
      <c r="J58" s="1">
        <v>116</v>
      </c>
      <c r="K58" s="1">
        <v>39</v>
      </c>
      <c r="L58" s="13">
        <f>((Data_depth_integrated2[[#This Row],[Depth_of_water_column_to_sediment_layer]]/100)/Data_depth_integrated2[[#This Row],[Total_sampling_time]])</f>
        <v>2.7948717948717949E-2</v>
      </c>
      <c r="M58" s="14">
        <v>5.14</v>
      </c>
      <c r="N58" s="1" t="s">
        <v>412</v>
      </c>
      <c r="O58" s="13">
        <v>9.1500000000000012E-2</v>
      </c>
      <c r="P58" s="1"/>
    </row>
    <row r="59" spans="1:16" x14ac:dyDescent="0.3">
      <c r="A59" s="1" t="s">
        <v>216</v>
      </c>
      <c r="B59" s="2" t="str">
        <f>MID(Data_depth_integrated2[[#This Row],[Code_(plot+location+sub_location+sampling_day+HT/LT)]],1,SEARCH("_",Data_depth_integrated2[[#This Row],[Code_(plot+location+sub_location+sampling_day+HT/LT)]])-1)</f>
        <v>14</v>
      </c>
      <c r="C5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59" s="1" t="str">
        <f>MID(Data_depth_integrated2[[#This Row],[Code_(plot+location+sub_location+sampling_day+HT/LT)]],FIND("_Day",Data_depth_integrated2[[#This Row],[Code_(plot+location+sub_location+sampling_day+HT/LT)]])-1,1)</f>
        <v>2</v>
      </c>
      <c r="E5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59" s="3" t="b">
        <v>0</v>
      </c>
      <c r="G59" s="3" t="b">
        <v>1</v>
      </c>
      <c r="H59" s="3" t="b">
        <v>1</v>
      </c>
      <c r="I59" s="1">
        <v>98</v>
      </c>
      <c r="J59" s="1">
        <v>104</v>
      </c>
      <c r="K59" s="1">
        <v>58</v>
      </c>
      <c r="L59" s="13">
        <f>((Data_depth_integrated2[[#This Row],[Depth_of_water_column_to_sediment_layer]]/100)/Data_depth_integrated2[[#This Row],[Total_sampling_time]])</f>
        <v>1.6896551724137929E-2</v>
      </c>
      <c r="M59" s="14">
        <v>5.35</v>
      </c>
      <c r="N59" s="1" t="s">
        <v>316</v>
      </c>
      <c r="O59" s="13">
        <v>3.6099999999999993E-2</v>
      </c>
      <c r="P59" s="1"/>
    </row>
    <row r="60" spans="1:16" x14ac:dyDescent="0.3">
      <c r="A60" s="1" t="s">
        <v>217</v>
      </c>
      <c r="B60" s="2" t="str">
        <f>MID(Data_depth_integrated2[[#This Row],[Code_(plot+location+sub_location+sampling_day+HT/LT)]],1,SEARCH("_",Data_depth_integrated2[[#This Row],[Code_(plot+location+sub_location+sampling_day+HT/LT)]])-1)</f>
        <v>14</v>
      </c>
      <c r="C6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60" s="1" t="str">
        <f>MID(Data_depth_integrated2[[#This Row],[Code_(plot+location+sub_location+sampling_day+HT/LT)]],FIND("_Day",Data_depth_integrated2[[#This Row],[Code_(plot+location+sub_location+sampling_day+HT/LT)]])-1,1)</f>
        <v>2</v>
      </c>
      <c r="E6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60" s="3" t="b">
        <v>1</v>
      </c>
      <c r="G60" s="3" t="b">
        <v>1</v>
      </c>
      <c r="H60" s="3" t="b">
        <v>1</v>
      </c>
      <c r="I60" s="1">
        <v>109</v>
      </c>
      <c r="J60" s="1">
        <v>116</v>
      </c>
      <c r="K60" s="1">
        <v>51</v>
      </c>
      <c r="L60" s="13">
        <f>((Data_depth_integrated2[[#This Row],[Depth_of_water_column_to_sediment_layer]]/100)/Data_depth_integrated2[[#This Row],[Total_sampling_time]])</f>
        <v>2.1372549019607844E-2</v>
      </c>
      <c r="M60" s="14">
        <v>5.69</v>
      </c>
      <c r="N60" s="1" t="s">
        <v>52</v>
      </c>
      <c r="O60" s="13">
        <v>5.9833333333333322E-2</v>
      </c>
      <c r="P60" s="1"/>
    </row>
    <row r="61" spans="1:16" x14ac:dyDescent="0.3">
      <c r="A61" s="1" t="s">
        <v>218</v>
      </c>
      <c r="B61" s="2" t="str">
        <f>MID(Data_depth_integrated2[[#This Row],[Code_(plot+location+sub_location+sampling_day+HT/LT)]],1,SEARCH("_",Data_depth_integrated2[[#This Row],[Code_(plot+location+sub_location+sampling_day+HT/LT)]])-1)</f>
        <v>14</v>
      </c>
      <c r="C6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61" s="1" t="str">
        <f>MID(Data_depth_integrated2[[#This Row],[Code_(plot+location+sub_location+sampling_day+HT/LT)]],FIND("_Day",Data_depth_integrated2[[#This Row],[Code_(plot+location+sub_location+sampling_day+HT/LT)]])-1,1)</f>
        <v>2</v>
      </c>
      <c r="E6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61" s="3" t="b">
        <v>0</v>
      </c>
      <c r="G61" s="3" t="b">
        <v>1</v>
      </c>
      <c r="H61" s="3" t="b">
        <v>1</v>
      </c>
      <c r="I61" s="1">
        <v>98</v>
      </c>
      <c r="J61" s="1">
        <v>104</v>
      </c>
      <c r="K61" s="1">
        <v>45</v>
      </c>
      <c r="L61" s="13">
        <f>((Data_depth_integrated2[[#This Row],[Depth_of_water_column_to_sediment_layer]]/100)/Data_depth_integrated2[[#This Row],[Total_sampling_time]])</f>
        <v>2.1777777777777778E-2</v>
      </c>
      <c r="M61" s="14">
        <v>5.64</v>
      </c>
      <c r="N61" s="1" t="s">
        <v>36</v>
      </c>
      <c r="O61" s="13">
        <v>3.2116666666666682E-2</v>
      </c>
      <c r="P61" s="1"/>
    </row>
    <row r="62" spans="1:16" x14ac:dyDescent="0.3">
      <c r="A62" s="1" t="s">
        <v>219</v>
      </c>
      <c r="B62" s="2" t="str">
        <f>MID(Data_depth_integrated2[[#This Row],[Code_(plot+location+sub_location+sampling_day+HT/LT)]],1,SEARCH("_",Data_depth_integrated2[[#This Row],[Code_(plot+location+sub_location+sampling_day+HT/LT)]])-1)</f>
        <v>14</v>
      </c>
      <c r="C6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62" s="1" t="str">
        <f>MID(Data_depth_integrated2[[#This Row],[Code_(plot+location+sub_location+sampling_day+HT/LT)]],FIND("_Day",Data_depth_integrated2[[#This Row],[Code_(plot+location+sub_location+sampling_day+HT/LT)]])-1,1)</f>
        <v>2</v>
      </c>
      <c r="E6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62" s="3" t="b">
        <v>1</v>
      </c>
      <c r="G62" s="3" t="b">
        <v>1</v>
      </c>
      <c r="H62" s="3" t="b">
        <v>1</v>
      </c>
      <c r="I62" s="1">
        <v>109</v>
      </c>
      <c r="J62" s="1">
        <v>116</v>
      </c>
      <c r="K62" s="1">
        <v>46</v>
      </c>
      <c r="L62" s="13">
        <f>((Data_depth_integrated2[[#This Row],[Depth_of_water_column_to_sediment_layer]]/100)/Data_depth_integrated2[[#This Row],[Total_sampling_time]])</f>
        <v>2.3695652173913045E-2</v>
      </c>
      <c r="M62" s="14">
        <v>5.38</v>
      </c>
      <c r="N62" s="1" t="s">
        <v>275</v>
      </c>
      <c r="O62" s="13">
        <v>1.0399999999999993E-2</v>
      </c>
      <c r="P62" s="1"/>
    </row>
    <row r="63" spans="1:16" x14ac:dyDescent="0.3">
      <c r="A63" s="1" t="s">
        <v>220</v>
      </c>
      <c r="B63" s="2" t="str">
        <f>MID(Data_depth_integrated2[[#This Row],[Code_(plot+location+sub_location+sampling_day+HT/LT)]],1,SEARCH("_",Data_depth_integrated2[[#This Row],[Code_(plot+location+sub_location+sampling_day+HT/LT)]])-1)</f>
        <v>14</v>
      </c>
      <c r="C6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63" s="1" t="str">
        <f>MID(Data_depth_integrated2[[#This Row],[Code_(plot+location+sub_location+sampling_day+HT/LT)]],FIND("_Day",Data_depth_integrated2[[#This Row],[Code_(plot+location+sub_location+sampling_day+HT/LT)]])-1,1)</f>
        <v>2</v>
      </c>
      <c r="E6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63" s="3" t="b">
        <v>0</v>
      </c>
      <c r="G63" s="3" t="b">
        <v>1</v>
      </c>
      <c r="H63" s="3" t="b">
        <v>1</v>
      </c>
      <c r="I63" s="1">
        <v>98</v>
      </c>
      <c r="J63" s="1">
        <v>104</v>
      </c>
      <c r="K63" s="1">
        <v>53</v>
      </c>
      <c r="L63" s="13">
        <f>((Data_depth_integrated2[[#This Row],[Depth_of_water_column_to_sediment_layer]]/100)/Data_depth_integrated2[[#This Row],[Total_sampling_time]])</f>
        <v>1.8490566037735849E-2</v>
      </c>
      <c r="M63" s="14">
        <v>5.61</v>
      </c>
      <c r="N63" s="1" t="s">
        <v>93</v>
      </c>
      <c r="O63" s="13">
        <v>1.0399999999999993E-2</v>
      </c>
      <c r="P63" s="1"/>
    </row>
    <row r="64" spans="1:16" x14ac:dyDescent="0.3">
      <c r="A64" s="1" t="s">
        <v>777</v>
      </c>
      <c r="B64" s="2" t="str">
        <f>MID(Data_depth_integrated2[[#This Row],[Code_(plot+location+sub_location+sampling_day+HT/LT)]],1,SEARCH("_",Data_depth_integrated2[[#This Row],[Code_(plot+location+sub_location+sampling_day+HT/LT)]])-1)</f>
        <v>14</v>
      </c>
      <c r="C6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4" s="1" t="str">
        <f>MID(Data_depth_integrated2[[#This Row],[Code_(plot+location+sub_location+sampling_day+HT/LT)]],FIND("_Day",Data_depth_integrated2[[#This Row],[Code_(plot+location+sub_location+sampling_day+HT/LT)]])-1,1)</f>
        <v>1</v>
      </c>
      <c r="E6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64" s="3" t="b">
        <v>1</v>
      </c>
      <c r="G64" s="3" t="b">
        <v>1</v>
      </c>
      <c r="H64" s="3" t="b">
        <v>1</v>
      </c>
      <c r="I64" s="1">
        <v>42</v>
      </c>
      <c r="J64" s="1">
        <v>43</v>
      </c>
      <c r="K64" s="1">
        <v>49</v>
      </c>
      <c r="L64" s="13">
        <f>((Data_depth_integrated2[[#This Row],[Depth_of_water_column_to_sediment_layer]]/100)/Data_depth_integrated2[[#This Row],[Total_sampling_time]])</f>
        <v>8.5714285714285719E-3</v>
      </c>
      <c r="M64" s="14">
        <v>5.33</v>
      </c>
      <c r="N64" s="1" t="s">
        <v>405</v>
      </c>
      <c r="O64" s="13">
        <v>7.8099999999999989E-2</v>
      </c>
      <c r="P64" s="1"/>
    </row>
    <row r="65" spans="1:16" x14ac:dyDescent="0.3">
      <c r="A65" s="1" t="s">
        <v>778</v>
      </c>
      <c r="B65" s="2" t="str">
        <f>MID(Data_depth_integrated2[[#This Row],[Code_(plot+location+sub_location+sampling_day+HT/LT)]],1,SEARCH("_",Data_depth_integrated2[[#This Row],[Code_(plot+location+sub_location+sampling_day+HT/LT)]])-1)</f>
        <v>14</v>
      </c>
      <c r="C6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5" s="1" t="str">
        <f>MID(Data_depth_integrated2[[#This Row],[Code_(plot+location+sub_location+sampling_day+HT/LT)]],FIND("_Day",Data_depth_integrated2[[#This Row],[Code_(plot+location+sub_location+sampling_day+HT/LT)]])-1,1)</f>
        <v>1</v>
      </c>
      <c r="E6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65" s="3" t="b">
        <v>0</v>
      </c>
      <c r="G65" s="3" t="b">
        <v>1</v>
      </c>
      <c r="H65" s="3" t="b">
        <v>1</v>
      </c>
      <c r="I65" s="1">
        <v>37</v>
      </c>
      <c r="J65" s="1">
        <v>37</v>
      </c>
      <c r="K65" s="1">
        <v>53</v>
      </c>
      <c r="L65" s="13">
        <f>((Data_depth_integrated2[[#This Row],[Depth_of_water_column_to_sediment_layer]]/100)/Data_depth_integrated2[[#This Row],[Total_sampling_time]])</f>
        <v>6.9811320754716976E-3</v>
      </c>
      <c r="M65" s="14">
        <v>4.92</v>
      </c>
      <c r="N65" s="1" t="s">
        <v>65</v>
      </c>
      <c r="O65" s="13">
        <v>2.675000000000001E-2</v>
      </c>
      <c r="P65" s="1"/>
    </row>
    <row r="66" spans="1:16" x14ac:dyDescent="0.3">
      <c r="A66" s="1" t="s">
        <v>779</v>
      </c>
      <c r="B66" s="2" t="str">
        <f>MID(Data_depth_integrated2[[#This Row],[Code_(plot+location+sub_location+sampling_day+HT/LT)]],1,SEARCH("_",Data_depth_integrated2[[#This Row],[Code_(plot+location+sub_location+sampling_day+HT/LT)]])-1)</f>
        <v>14</v>
      </c>
      <c r="C6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6" s="1" t="str">
        <f>MID(Data_depth_integrated2[[#This Row],[Code_(plot+location+sub_location+sampling_day+HT/LT)]],FIND("_Day",Data_depth_integrated2[[#This Row],[Code_(plot+location+sub_location+sampling_day+HT/LT)]])-1,1)</f>
        <v>1</v>
      </c>
      <c r="E6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66" s="3" t="b">
        <v>1</v>
      </c>
      <c r="G66" s="3" t="b">
        <v>1</v>
      </c>
      <c r="H66" s="3" t="b">
        <v>1</v>
      </c>
      <c r="I66" s="1">
        <v>42</v>
      </c>
      <c r="J66" s="1">
        <v>43</v>
      </c>
      <c r="K66" s="1">
        <v>45</v>
      </c>
      <c r="L66" s="13">
        <f>((Data_depth_integrated2[[#This Row],[Depth_of_water_column_to_sediment_layer]]/100)/Data_depth_integrated2[[#This Row],[Total_sampling_time]])</f>
        <v>9.3333333333333324E-3</v>
      </c>
      <c r="M66" s="14">
        <v>5.8</v>
      </c>
      <c r="N66" s="1" t="s">
        <v>81</v>
      </c>
      <c r="O66" s="13">
        <v>3.5849999999999993E-2</v>
      </c>
      <c r="P66" s="1"/>
    </row>
    <row r="67" spans="1:16" x14ac:dyDescent="0.3">
      <c r="A67" s="1" t="s">
        <v>780</v>
      </c>
      <c r="B67" s="2" t="str">
        <f>MID(Data_depth_integrated2[[#This Row],[Code_(plot+location+sub_location+sampling_day+HT/LT)]],1,SEARCH("_",Data_depth_integrated2[[#This Row],[Code_(plot+location+sub_location+sampling_day+HT/LT)]])-1)</f>
        <v>14</v>
      </c>
      <c r="C6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7" s="1" t="str">
        <f>MID(Data_depth_integrated2[[#This Row],[Code_(plot+location+sub_location+sampling_day+HT/LT)]],FIND("_Day",Data_depth_integrated2[[#This Row],[Code_(plot+location+sub_location+sampling_day+HT/LT)]])-1,1)</f>
        <v>1</v>
      </c>
      <c r="E6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67" s="3" t="b">
        <v>0</v>
      </c>
      <c r="G67" s="3" t="b">
        <v>1</v>
      </c>
      <c r="H67" s="3" t="b">
        <v>1</v>
      </c>
      <c r="I67" s="1">
        <v>37</v>
      </c>
      <c r="J67" s="1">
        <v>37</v>
      </c>
      <c r="K67" s="1">
        <v>57</v>
      </c>
      <c r="L67" s="13">
        <f>((Data_depth_integrated2[[#This Row],[Depth_of_water_column_to_sediment_layer]]/100)/Data_depth_integrated2[[#This Row],[Total_sampling_time]])</f>
        <v>6.4912280701754383E-3</v>
      </c>
      <c r="M67" s="14">
        <v>5.68</v>
      </c>
      <c r="N67" s="1" t="s">
        <v>327</v>
      </c>
      <c r="O67" s="13">
        <v>2.0499999999999963E-3</v>
      </c>
      <c r="P67" s="1"/>
    </row>
    <row r="68" spans="1:16" x14ac:dyDescent="0.3">
      <c r="A68" s="1" t="s">
        <v>781</v>
      </c>
      <c r="B68" s="2" t="str">
        <f>MID(Data_depth_integrated2[[#This Row],[Code_(plot+location+sub_location+sampling_day+HT/LT)]],1,SEARCH("_",Data_depth_integrated2[[#This Row],[Code_(plot+location+sub_location+sampling_day+HT/LT)]])-1)</f>
        <v>14</v>
      </c>
      <c r="C6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8" s="1" t="str">
        <f>MID(Data_depth_integrated2[[#This Row],[Code_(plot+location+sub_location+sampling_day+HT/LT)]],FIND("_Day",Data_depth_integrated2[[#This Row],[Code_(plot+location+sub_location+sampling_day+HT/LT)]])-1,1)</f>
        <v>1</v>
      </c>
      <c r="E6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68" s="3" t="b">
        <v>1</v>
      </c>
      <c r="G68" s="3" t="b">
        <v>1</v>
      </c>
      <c r="H68" s="3" t="b">
        <v>1</v>
      </c>
      <c r="I68" s="1">
        <v>42</v>
      </c>
      <c r="J68" s="1">
        <v>43</v>
      </c>
      <c r="K68" s="1">
        <v>45</v>
      </c>
      <c r="L68" s="13">
        <f>((Data_depth_integrated2[[#This Row],[Depth_of_water_column_to_sediment_layer]]/100)/Data_depth_integrated2[[#This Row],[Total_sampling_time]])</f>
        <v>9.3333333333333324E-3</v>
      </c>
      <c r="M68" s="14">
        <v>4.75</v>
      </c>
      <c r="N68" s="1" t="s">
        <v>429</v>
      </c>
      <c r="O68" s="13">
        <v>5.2350000000000008E-2</v>
      </c>
      <c r="P68" s="1"/>
    </row>
    <row r="69" spans="1:16" x14ac:dyDescent="0.3">
      <c r="A69" s="1" t="s">
        <v>782</v>
      </c>
      <c r="B69" s="2" t="str">
        <f>MID(Data_depth_integrated2[[#This Row],[Code_(plot+location+sub_location+sampling_day+HT/LT)]],1,SEARCH("_",Data_depth_integrated2[[#This Row],[Code_(plot+location+sub_location+sampling_day+HT/LT)]])-1)</f>
        <v>14</v>
      </c>
      <c r="C6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69" s="1" t="str">
        <f>MID(Data_depth_integrated2[[#This Row],[Code_(plot+location+sub_location+sampling_day+HT/LT)]],FIND("_Day",Data_depth_integrated2[[#This Row],[Code_(plot+location+sub_location+sampling_day+HT/LT)]])-1,1)</f>
        <v>1</v>
      </c>
      <c r="E6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69" s="3" t="b">
        <v>0</v>
      </c>
      <c r="G69" s="3" t="b">
        <v>1</v>
      </c>
      <c r="H69" s="3" t="b">
        <v>1</v>
      </c>
      <c r="I69" s="1">
        <v>37</v>
      </c>
      <c r="J69" s="1">
        <v>37</v>
      </c>
      <c r="K69" s="1">
        <v>47</v>
      </c>
      <c r="L69" s="13">
        <f>((Data_depth_integrated2[[#This Row],[Depth_of_water_column_to_sediment_layer]]/100)/Data_depth_integrated2[[#This Row],[Total_sampling_time]])</f>
        <v>7.8723404255319155E-3</v>
      </c>
      <c r="M69" s="14">
        <v>5.03</v>
      </c>
      <c r="N69" s="1" t="s">
        <v>97</v>
      </c>
      <c r="O69" s="13">
        <v>0.3777833333333333</v>
      </c>
      <c r="P69" s="1"/>
    </row>
    <row r="70" spans="1:16" x14ac:dyDescent="0.3">
      <c r="A70" s="1" t="s">
        <v>221</v>
      </c>
      <c r="B70" s="2" t="str">
        <f>MID(Data_depth_integrated2[[#This Row],[Code_(plot+location+sub_location+sampling_day+HT/LT)]],1,SEARCH("_",Data_depth_integrated2[[#This Row],[Code_(plot+location+sub_location+sampling_day+HT/LT)]])-1)</f>
        <v>14</v>
      </c>
      <c r="C7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0" s="1" t="str">
        <f>MID(Data_depth_integrated2[[#This Row],[Code_(plot+location+sub_location+sampling_day+HT/LT)]],FIND("_Day",Data_depth_integrated2[[#This Row],[Code_(plot+location+sub_location+sampling_day+HT/LT)]])-1,1)</f>
        <v>2</v>
      </c>
      <c r="E7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70" s="3" t="b">
        <v>1</v>
      </c>
      <c r="G70" s="3" t="b">
        <v>1</v>
      </c>
      <c r="H70" s="3" t="b">
        <v>1</v>
      </c>
      <c r="I70" s="1">
        <v>42</v>
      </c>
      <c r="J70" s="1">
        <v>43</v>
      </c>
      <c r="K70" s="1">
        <v>56</v>
      </c>
      <c r="L70" s="13">
        <f>((Data_depth_integrated2[[#This Row],[Depth_of_water_column_to_sediment_layer]]/100)/Data_depth_integrated2[[#This Row],[Total_sampling_time]])</f>
        <v>7.4999999999999997E-3</v>
      </c>
      <c r="M70" s="14">
        <v>5.97</v>
      </c>
      <c r="N70" s="1" t="s">
        <v>283</v>
      </c>
      <c r="O70" s="13">
        <v>2.2400000000000003E-2</v>
      </c>
      <c r="P70" s="1"/>
    </row>
    <row r="71" spans="1:16" x14ac:dyDescent="0.3">
      <c r="A71" s="1" t="s">
        <v>222</v>
      </c>
      <c r="B71" s="2" t="str">
        <f>MID(Data_depth_integrated2[[#This Row],[Code_(plot+location+sub_location+sampling_day+HT/LT)]],1,SEARCH("_",Data_depth_integrated2[[#This Row],[Code_(plot+location+sub_location+sampling_day+HT/LT)]])-1)</f>
        <v>14</v>
      </c>
      <c r="C7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1" s="1" t="str">
        <f>MID(Data_depth_integrated2[[#This Row],[Code_(plot+location+sub_location+sampling_day+HT/LT)]],FIND("_Day",Data_depth_integrated2[[#This Row],[Code_(plot+location+sub_location+sampling_day+HT/LT)]])-1,1)</f>
        <v>2</v>
      </c>
      <c r="E7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71" s="3" t="b">
        <v>0</v>
      </c>
      <c r="G71" s="3" t="b">
        <v>1</v>
      </c>
      <c r="H71" s="3" t="b">
        <v>1</v>
      </c>
      <c r="I71" s="1">
        <v>37</v>
      </c>
      <c r="J71" s="1">
        <v>37</v>
      </c>
      <c r="K71" s="1">
        <v>48</v>
      </c>
      <c r="L71" s="13">
        <f>((Data_depth_integrated2[[#This Row],[Depth_of_water_column_to_sediment_layer]]/100)/Data_depth_integrated2[[#This Row],[Total_sampling_time]])</f>
        <v>7.7083333333333335E-3</v>
      </c>
      <c r="M71" s="14">
        <v>5.26</v>
      </c>
      <c r="N71" s="1" t="s">
        <v>393</v>
      </c>
      <c r="O71" s="13">
        <v>4.9250000000000002E-2</v>
      </c>
      <c r="P71" s="1"/>
    </row>
    <row r="72" spans="1:16" x14ac:dyDescent="0.3">
      <c r="A72" s="1" t="s">
        <v>223</v>
      </c>
      <c r="B72" s="2" t="str">
        <f>MID(Data_depth_integrated2[[#This Row],[Code_(plot+location+sub_location+sampling_day+HT/LT)]],1,SEARCH("_",Data_depth_integrated2[[#This Row],[Code_(plot+location+sub_location+sampling_day+HT/LT)]])-1)</f>
        <v>14</v>
      </c>
      <c r="C7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2" s="1" t="str">
        <f>MID(Data_depth_integrated2[[#This Row],[Code_(plot+location+sub_location+sampling_day+HT/LT)]],FIND("_Day",Data_depth_integrated2[[#This Row],[Code_(plot+location+sub_location+sampling_day+HT/LT)]])-1,1)</f>
        <v>2</v>
      </c>
      <c r="E7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72" s="3" t="b">
        <v>1</v>
      </c>
      <c r="G72" s="3" t="b">
        <v>1</v>
      </c>
      <c r="H72" s="3" t="b">
        <v>1</v>
      </c>
      <c r="I72" s="1">
        <v>42</v>
      </c>
      <c r="J72" s="1">
        <v>43</v>
      </c>
      <c r="K72" s="1">
        <v>39</v>
      </c>
      <c r="L72" s="13">
        <f>((Data_depth_integrated2[[#This Row],[Depth_of_water_column_to_sediment_layer]]/100)/Data_depth_integrated2[[#This Row],[Total_sampling_time]])</f>
        <v>1.0769230769230769E-2</v>
      </c>
      <c r="M72" s="14">
        <v>5.04</v>
      </c>
      <c r="N72" s="1" t="s">
        <v>28</v>
      </c>
      <c r="O72" s="13">
        <v>0.1007</v>
      </c>
      <c r="P72" s="1"/>
    </row>
    <row r="73" spans="1:16" x14ac:dyDescent="0.3">
      <c r="A73" s="1" t="s">
        <v>224</v>
      </c>
      <c r="B73" s="2" t="str">
        <f>MID(Data_depth_integrated2[[#This Row],[Code_(plot+location+sub_location+sampling_day+HT/LT)]],1,SEARCH("_",Data_depth_integrated2[[#This Row],[Code_(plot+location+sub_location+sampling_day+HT/LT)]])-1)</f>
        <v>14</v>
      </c>
      <c r="C7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3" s="1" t="str">
        <f>MID(Data_depth_integrated2[[#This Row],[Code_(plot+location+sub_location+sampling_day+HT/LT)]],FIND("_Day",Data_depth_integrated2[[#This Row],[Code_(plot+location+sub_location+sampling_day+HT/LT)]])-1,1)</f>
        <v>2</v>
      </c>
      <c r="E7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73" s="3" t="b">
        <v>0</v>
      </c>
      <c r="G73" s="3" t="b">
        <v>1</v>
      </c>
      <c r="H73" s="3" t="b">
        <v>1</v>
      </c>
      <c r="I73" s="1">
        <v>37</v>
      </c>
      <c r="J73" s="1">
        <v>37</v>
      </c>
      <c r="K73" s="1">
        <v>41</v>
      </c>
      <c r="L73" s="13">
        <f>((Data_depth_integrated2[[#This Row],[Depth_of_water_column_to_sediment_layer]]/100)/Data_depth_integrated2[[#This Row],[Total_sampling_time]])</f>
        <v>9.0243902439024384E-3</v>
      </c>
      <c r="M73" s="14">
        <v>5.81</v>
      </c>
      <c r="N73" s="1" t="s">
        <v>111</v>
      </c>
      <c r="O73" s="13">
        <v>9.5949999999999994E-2</v>
      </c>
      <c r="P73" s="1"/>
    </row>
    <row r="74" spans="1:16" x14ac:dyDescent="0.3">
      <c r="A74" s="1" t="s">
        <v>225</v>
      </c>
      <c r="B74" s="2" t="str">
        <f>MID(Data_depth_integrated2[[#This Row],[Code_(plot+location+sub_location+sampling_day+HT/LT)]],1,SEARCH("_",Data_depth_integrated2[[#This Row],[Code_(plot+location+sub_location+sampling_day+HT/LT)]])-1)</f>
        <v>14</v>
      </c>
      <c r="C7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4" s="1" t="str">
        <f>MID(Data_depth_integrated2[[#This Row],[Code_(plot+location+sub_location+sampling_day+HT/LT)]],FIND("_Day",Data_depth_integrated2[[#This Row],[Code_(plot+location+sub_location+sampling_day+HT/LT)]])-1,1)</f>
        <v>2</v>
      </c>
      <c r="E7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74" s="3" t="b">
        <v>1</v>
      </c>
      <c r="G74" s="3" t="b">
        <v>1</v>
      </c>
      <c r="H74" s="3" t="b">
        <v>1</v>
      </c>
      <c r="I74" s="1">
        <v>42</v>
      </c>
      <c r="J74" s="1">
        <v>43</v>
      </c>
      <c r="K74" s="1">
        <v>57</v>
      </c>
      <c r="L74" s="13">
        <f>((Data_depth_integrated2[[#This Row],[Depth_of_water_column_to_sediment_layer]]/100)/Data_depth_integrated2[[#This Row],[Total_sampling_time]])</f>
        <v>7.3684210526315788E-3</v>
      </c>
      <c r="M74" s="14">
        <v>5.54</v>
      </c>
      <c r="N74" s="1" t="s">
        <v>409</v>
      </c>
      <c r="O74" s="13">
        <v>4.9600000000000019E-2</v>
      </c>
      <c r="P74" s="1"/>
    </row>
    <row r="75" spans="1:16" x14ac:dyDescent="0.3">
      <c r="A75" s="1" t="s">
        <v>226</v>
      </c>
      <c r="B75" s="2" t="str">
        <f>MID(Data_depth_integrated2[[#This Row],[Code_(plot+location+sub_location+sampling_day+HT/LT)]],1,SEARCH("_",Data_depth_integrated2[[#This Row],[Code_(plot+location+sub_location+sampling_day+HT/LT)]])-1)</f>
        <v>14</v>
      </c>
      <c r="C7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75" s="1" t="str">
        <f>MID(Data_depth_integrated2[[#This Row],[Code_(plot+location+sub_location+sampling_day+HT/LT)]],FIND("_Day",Data_depth_integrated2[[#This Row],[Code_(plot+location+sub_location+sampling_day+HT/LT)]])-1,1)</f>
        <v>2</v>
      </c>
      <c r="E7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75" s="3" t="b">
        <v>0</v>
      </c>
      <c r="G75" s="3" t="b">
        <v>1</v>
      </c>
      <c r="H75" s="3" t="b">
        <v>1</v>
      </c>
      <c r="I75" s="1">
        <v>37</v>
      </c>
      <c r="J75" s="1">
        <v>37</v>
      </c>
      <c r="K75" s="1">
        <v>54</v>
      </c>
      <c r="L75" s="13">
        <f>((Data_depth_integrated2[[#This Row],[Depth_of_water_column_to_sediment_layer]]/100)/Data_depth_integrated2[[#This Row],[Total_sampling_time]])</f>
        <v>6.851851851851852E-3</v>
      </c>
      <c r="M75" s="14">
        <v>5.32</v>
      </c>
      <c r="N75" s="1" t="s">
        <v>355</v>
      </c>
      <c r="O75" s="13">
        <v>2.0499999999999963E-3</v>
      </c>
      <c r="P75" s="1"/>
    </row>
    <row r="76" spans="1:16" x14ac:dyDescent="0.3">
      <c r="A76" s="1" t="s">
        <v>783</v>
      </c>
      <c r="B76" s="2" t="str">
        <f>MID(Data_depth_integrated2[[#This Row],[Code_(plot+location+sub_location+sampling_day+HT/LT)]],1,SEARCH("_",Data_depth_integrated2[[#This Row],[Code_(plot+location+sub_location+sampling_day+HT/LT)]])-1)</f>
        <v>15</v>
      </c>
      <c r="C7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76" s="1" t="str">
        <f>MID(Data_depth_integrated2[[#This Row],[Code_(plot+location+sub_location+sampling_day+HT/LT)]],FIND("_Day",Data_depth_integrated2[[#This Row],[Code_(plot+location+sub_location+sampling_day+HT/LT)]])-1,1)</f>
        <v>1</v>
      </c>
      <c r="E7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76" s="3" t="b">
        <v>1</v>
      </c>
      <c r="G76" s="3" t="b">
        <v>1</v>
      </c>
      <c r="H76" s="3" t="b">
        <v>1</v>
      </c>
      <c r="I76" s="1">
        <v>44</v>
      </c>
      <c r="J76" s="1">
        <v>44</v>
      </c>
      <c r="K76" s="1">
        <v>60</v>
      </c>
      <c r="L76" s="13">
        <f>((Data_depth_integrated2[[#This Row],[Depth_of_water_column_to_sediment_layer]]/100)/Data_depth_integrated2[[#This Row],[Total_sampling_time]])</f>
        <v>7.3333333333333332E-3</v>
      </c>
      <c r="M76" s="14">
        <v>5.21</v>
      </c>
      <c r="N76" s="1" t="s">
        <v>55</v>
      </c>
      <c r="O76" s="13">
        <v>2.0499999999999963E-3</v>
      </c>
      <c r="P76" s="1"/>
    </row>
    <row r="77" spans="1:16" x14ac:dyDescent="0.3">
      <c r="A77" s="1" t="s">
        <v>784</v>
      </c>
      <c r="B77" s="2" t="str">
        <f>MID(Data_depth_integrated2[[#This Row],[Code_(plot+location+sub_location+sampling_day+HT/LT)]],1,SEARCH("_",Data_depth_integrated2[[#This Row],[Code_(plot+location+sub_location+sampling_day+HT/LT)]])-1)</f>
        <v>15</v>
      </c>
      <c r="C7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77" s="1" t="str">
        <f>MID(Data_depth_integrated2[[#This Row],[Code_(plot+location+sub_location+sampling_day+HT/LT)]],FIND("_Day",Data_depth_integrated2[[#This Row],[Code_(plot+location+sub_location+sampling_day+HT/LT)]])-1,1)</f>
        <v>1</v>
      </c>
      <c r="E7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77" s="3" t="b">
        <v>0</v>
      </c>
      <c r="G77" s="3" t="b">
        <v>1</v>
      </c>
      <c r="H77" s="3" t="b">
        <v>1</v>
      </c>
      <c r="I77" s="1">
        <v>37</v>
      </c>
      <c r="J77" s="1">
        <v>37</v>
      </c>
      <c r="K77" s="1">
        <v>43</v>
      </c>
      <c r="L77" s="13">
        <f>((Data_depth_integrated2[[#This Row],[Depth_of_water_column_to_sediment_layer]]/100)/Data_depth_integrated2[[#This Row],[Total_sampling_time]])</f>
        <v>8.6046511627906972E-3</v>
      </c>
      <c r="M77" s="14">
        <v>5.36</v>
      </c>
      <c r="N77" s="1" t="s">
        <v>297</v>
      </c>
      <c r="O77" s="13">
        <v>7.7649999999999997E-2</v>
      </c>
      <c r="P77" s="1"/>
    </row>
    <row r="78" spans="1:16" x14ac:dyDescent="0.3">
      <c r="A78" s="1" t="s">
        <v>785</v>
      </c>
      <c r="B78" s="2" t="str">
        <f>MID(Data_depth_integrated2[[#This Row],[Code_(plot+location+sub_location+sampling_day+HT/LT)]],1,SEARCH("_",Data_depth_integrated2[[#This Row],[Code_(plot+location+sub_location+sampling_day+HT/LT)]])-1)</f>
        <v>15</v>
      </c>
      <c r="C7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78" s="1" t="str">
        <f>MID(Data_depth_integrated2[[#This Row],[Code_(plot+location+sub_location+sampling_day+HT/LT)]],FIND("_Day",Data_depth_integrated2[[#This Row],[Code_(plot+location+sub_location+sampling_day+HT/LT)]])-1,1)</f>
        <v>1</v>
      </c>
      <c r="E7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78" s="3" t="b">
        <v>1</v>
      </c>
      <c r="G78" s="3" t="b">
        <v>1</v>
      </c>
      <c r="H78" s="3" t="b">
        <v>1</v>
      </c>
      <c r="I78" s="1">
        <v>44</v>
      </c>
      <c r="J78" s="1">
        <v>44</v>
      </c>
      <c r="K78" s="1">
        <v>56</v>
      </c>
      <c r="L78" s="13">
        <f>((Data_depth_integrated2[[#This Row],[Depth_of_water_column_to_sediment_layer]]/100)/Data_depth_integrated2[[#This Row],[Total_sampling_time]])</f>
        <v>7.8571428571428577E-3</v>
      </c>
      <c r="M78" s="14">
        <v>5.74</v>
      </c>
      <c r="N78" s="1" t="s">
        <v>42</v>
      </c>
      <c r="O78" s="13">
        <v>5.2350000000000008E-2</v>
      </c>
      <c r="P78" s="1"/>
    </row>
    <row r="79" spans="1:16" x14ac:dyDescent="0.3">
      <c r="A79" s="1" t="s">
        <v>786</v>
      </c>
      <c r="B79" s="2" t="str">
        <f>MID(Data_depth_integrated2[[#This Row],[Code_(plot+location+sub_location+sampling_day+HT/LT)]],1,SEARCH("_",Data_depth_integrated2[[#This Row],[Code_(plot+location+sub_location+sampling_day+HT/LT)]])-1)</f>
        <v>15</v>
      </c>
      <c r="C7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79" s="1" t="str">
        <f>MID(Data_depth_integrated2[[#This Row],[Code_(plot+location+sub_location+sampling_day+HT/LT)]],FIND("_Day",Data_depth_integrated2[[#This Row],[Code_(plot+location+sub_location+sampling_day+HT/LT)]])-1,1)</f>
        <v>1</v>
      </c>
      <c r="E7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79" s="3" t="b">
        <v>0</v>
      </c>
      <c r="G79" s="3" t="b">
        <v>1</v>
      </c>
      <c r="H79" s="3" t="b">
        <v>1</v>
      </c>
      <c r="I79" s="1">
        <v>37</v>
      </c>
      <c r="J79" s="1">
        <v>37</v>
      </c>
      <c r="K79" s="1">
        <v>55</v>
      </c>
      <c r="L79" s="13">
        <f>((Data_depth_integrated2[[#This Row],[Depth_of_water_column_to_sediment_layer]]/100)/Data_depth_integrated2[[#This Row],[Total_sampling_time]])</f>
        <v>6.7272727272727276E-3</v>
      </c>
      <c r="M79" s="14">
        <v>5.5</v>
      </c>
      <c r="N79" s="1" t="s">
        <v>340</v>
      </c>
      <c r="O79" s="13">
        <v>2.2716666666666677E-2</v>
      </c>
      <c r="P79" s="1"/>
    </row>
    <row r="80" spans="1:16" x14ac:dyDescent="0.3">
      <c r="A80" s="1" t="s">
        <v>787</v>
      </c>
      <c r="B80" s="2" t="str">
        <f>MID(Data_depth_integrated2[[#This Row],[Code_(plot+location+sub_location+sampling_day+HT/LT)]],1,SEARCH("_",Data_depth_integrated2[[#This Row],[Code_(plot+location+sub_location+sampling_day+HT/LT)]])-1)</f>
        <v>15</v>
      </c>
      <c r="C8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0" s="1" t="str">
        <f>MID(Data_depth_integrated2[[#This Row],[Code_(plot+location+sub_location+sampling_day+HT/LT)]],FIND("_Day",Data_depth_integrated2[[#This Row],[Code_(plot+location+sub_location+sampling_day+HT/LT)]])-1,1)</f>
        <v>1</v>
      </c>
      <c r="E8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80" s="3" t="b">
        <v>1</v>
      </c>
      <c r="G80" s="3" t="b">
        <v>1</v>
      </c>
      <c r="H80" s="3" t="b">
        <v>1</v>
      </c>
      <c r="I80" s="1">
        <v>44</v>
      </c>
      <c r="J80" s="1">
        <v>44</v>
      </c>
      <c r="K80" s="1">
        <v>40</v>
      </c>
      <c r="L80" s="13">
        <f>((Data_depth_integrated2[[#This Row],[Depth_of_water_column_to_sediment_layer]]/100)/Data_depth_integrated2[[#This Row],[Total_sampling_time]])</f>
        <v>1.0999999999999999E-2</v>
      </c>
      <c r="M80" s="14">
        <v>4.7699999999999996</v>
      </c>
      <c r="N80" s="1" t="s">
        <v>342</v>
      </c>
      <c r="O80" s="13">
        <v>0.12075</v>
      </c>
      <c r="P80" s="1"/>
    </row>
    <row r="81" spans="1:16" x14ac:dyDescent="0.3">
      <c r="A81" s="1" t="s">
        <v>788</v>
      </c>
      <c r="B81" s="2" t="str">
        <f>MID(Data_depth_integrated2[[#This Row],[Code_(plot+location+sub_location+sampling_day+HT/LT)]],1,SEARCH("_",Data_depth_integrated2[[#This Row],[Code_(plot+location+sub_location+sampling_day+HT/LT)]])-1)</f>
        <v>15</v>
      </c>
      <c r="C8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1" s="1" t="str">
        <f>MID(Data_depth_integrated2[[#This Row],[Code_(plot+location+sub_location+sampling_day+HT/LT)]],FIND("_Day",Data_depth_integrated2[[#This Row],[Code_(plot+location+sub_location+sampling_day+HT/LT)]])-1,1)</f>
        <v>1</v>
      </c>
      <c r="E8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81" s="3" t="b">
        <v>0</v>
      </c>
      <c r="G81" s="3" t="b">
        <v>1</v>
      </c>
      <c r="H81" s="3" t="b">
        <v>1</v>
      </c>
      <c r="I81" s="1">
        <v>37</v>
      </c>
      <c r="J81" s="1">
        <v>37</v>
      </c>
      <c r="K81" s="1">
        <v>57</v>
      </c>
      <c r="L81" s="13">
        <f>((Data_depth_integrated2[[#This Row],[Depth_of_water_column_to_sediment_layer]]/100)/Data_depth_integrated2[[#This Row],[Total_sampling_time]])</f>
        <v>6.4912280701754383E-3</v>
      </c>
      <c r="M81" s="14">
        <v>5.67</v>
      </c>
      <c r="N81" s="1" t="s">
        <v>245</v>
      </c>
      <c r="O81" s="13">
        <v>6.1683333333333326E-2</v>
      </c>
      <c r="P81" s="1"/>
    </row>
    <row r="82" spans="1:16" x14ac:dyDescent="0.3">
      <c r="A82" s="1" t="s">
        <v>789</v>
      </c>
      <c r="B82" s="2" t="str">
        <f>MID(Data_depth_integrated2[[#This Row],[Code_(plot+location+sub_location+sampling_day+HT/LT)]],1,SEARCH("_",Data_depth_integrated2[[#This Row],[Code_(plot+location+sub_location+sampling_day+HT/LT)]])-1)</f>
        <v>15</v>
      </c>
      <c r="C8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2" s="1" t="str">
        <f>MID(Data_depth_integrated2[[#This Row],[Code_(plot+location+sub_location+sampling_day+HT/LT)]],FIND("_Day",Data_depth_integrated2[[#This Row],[Code_(plot+location+sub_location+sampling_day+HT/LT)]])-1,1)</f>
        <v>2</v>
      </c>
      <c r="E8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82" s="3" t="b">
        <v>1</v>
      </c>
      <c r="G82" s="3" t="b">
        <v>1</v>
      </c>
      <c r="H82" s="3" t="b">
        <v>1</v>
      </c>
      <c r="I82" s="1">
        <v>78</v>
      </c>
      <c r="J82" s="1">
        <v>78</v>
      </c>
      <c r="K82" s="1">
        <v>47</v>
      </c>
      <c r="L82" s="13">
        <f>((Data_depth_integrated2[[#This Row],[Depth_of_water_column_to_sediment_layer]]/100)/Data_depth_integrated2[[#This Row],[Total_sampling_time]])</f>
        <v>1.6595744680851066E-2</v>
      </c>
      <c r="M82" s="14">
        <v>5.08</v>
      </c>
      <c r="N82" s="1" t="s">
        <v>107</v>
      </c>
      <c r="O82" s="13">
        <v>1.1650000000000008E-2</v>
      </c>
      <c r="P82" s="1"/>
    </row>
    <row r="83" spans="1:16" x14ac:dyDescent="0.3">
      <c r="A83" s="1" t="s">
        <v>790</v>
      </c>
      <c r="B83" s="2" t="str">
        <f>MID(Data_depth_integrated2[[#This Row],[Code_(plot+location+sub_location+sampling_day+HT/LT)]],1,SEARCH("_",Data_depth_integrated2[[#This Row],[Code_(plot+location+sub_location+sampling_day+HT/LT)]])-1)</f>
        <v>15</v>
      </c>
      <c r="C8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3" s="1" t="str">
        <f>MID(Data_depth_integrated2[[#This Row],[Code_(plot+location+sub_location+sampling_day+HT/LT)]],FIND("_Day",Data_depth_integrated2[[#This Row],[Code_(plot+location+sub_location+sampling_day+HT/LT)]])-1,1)</f>
        <v>2</v>
      </c>
      <c r="E8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83" s="3" t="b">
        <v>0</v>
      </c>
      <c r="G83" s="3" t="b">
        <v>1</v>
      </c>
      <c r="H83" s="3" t="b">
        <v>1</v>
      </c>
      <c r="I83" s="1">
        <v>77</v>
      </c>
      <c r="J83" s="1">
        <v>88</v>
      </c>
      <c r="K83" s="1">
        <v>41</v>
      </c>
      <c r="L83" s="13">
        <f>((Data_depth_integrated2[[#This Row],[Depth_of_water_column_to_sediment_layer]]/100)/Data_depth_integrated2[[#This Row],[Total_sampling_time]])</f>
        <v>1.8780487804878048E-2</v>
      </c>
      <c r="M83" s="14">
        <v>6</v>
      </c>
      <c r="N83" s="1" t="s">
        <v>339</v>
      </c>
      <c r="O83" s="13">
        <v>8.2383333333333322E-2</v>
      </c>
      <c r="P83" s="1"/>
    </row>
    <row r="84" spans="1:16" x14ac:dyDescent="0.3">
      <c r="A84" s="1" t="s">
        <v>791</v>
      </c>
      <c r="B84" s="2" t="str">
        <f>MID(Data_depth_integrated2[[#This Row],[Code_(plot+location+sub_location+sampling_day+HT/LT)]],1,SEARCH("_",Data_depth_integrated2[[#This Row],[Code_(plot+location+sub_location+sampling_day+HT/LT)]])-1)</f>
        <v>15</v>
      </c>
      <c r="C8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4" s="1" t="str">
        <f>MID(Data_depth_integrated2[[#This Row],[Code_(plot+location+sub_location+sampling_day+HT/LT)]],FIND("_Day",Data_depth_integrated2[[#This Row],[Code_(plot+location+sub_location+sampling_day+HT/LT)]])-1,1)</f>
        <v>2</v>
      </c>
      <c r="E8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84" s="3" t="b">
        <v>1</v>
      </c>
      <c r="G84" s="3" t="b">
        <v>1</v>
      </c>
      <c r="H84" s="3" t="b">
        <v>1</v>
      </c>
      <c r="I84" s="1">
        <v>78</v>
      </c>
      <c r="J84" s="1">
        <v>78</v>
      </c>
      <c r="K84" s="1">
        <v>46</v>
      </c>
      <c r="L84" s="13">
        <f>((Data_depth_integrated2[[#This Row],[Depth_of_water_column_to_sediment_layer]]/100)/Data_depth_integrated2[[#This Row],[Total_sampling_time]])</f>
        <v>1.6956521739130436E-2</v>
      </c>
      <c r="M84" s="14">
        <v>5.66</v>
      </c>
      <c r="N84" s="1" t="s">
        <v>410</v>
      </c>
      <c r="O84" s="13">
        <v>0.3777833333333333</v>
      </c>
      <c r="P84" s="1"/>
    </row>
    <row r="85" spans="1:16" x14ac:dyDescent="0.3">
      <c r="A85" s="1" t="s">
        <v>792</v>
      </c>
      <c r="B85" s="2" t="str">
        <f>MID(Data_depth_integrated2[[#This Row],[Code_(plot+location+sub_location+sampling_day+HT/LT)]],1,SEARCH("_",Data_depth_integrated2[[#This Row],[Code_(plot+location+sub_location+sampling_day+HT/LT)]])-1)</f>
        <v>15</v>
      </c>
      <c r="C8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5" s="1" t="str">
        <f>MID(Data_depth_integrated2[[#This Row],[Code_(plot+location+sub_location+sampling_day+HT/LT)]],FIND("_Day",Data_depth_integrated2[[#This Row],[Code_(plot+location+sub_location+sampling_day+HT/LT)]])-1,1)</f>
        <v>2</v>
      </c>
      <c r="E8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85" s="3" t="b">
        <v>0</v>
      </c>
      <c r="G85" s="3" t="b">
        <v>1</v>
      </c>
      <c r="H85" s="3" t="b">
        <v>1</v>
      </c>
      <c r="I85" s="1">
        <v>77</v>
      </c>
      <c r="J85" s="1">
        <v>88</v>
      </c>
      <c r="K85" s="1">
        <v>46</v>
      </c>
      <c r="L85" s="13">
        <f>((Data_depth_integrated2[[#This Row],[Depth_of_water_column_to_sediment_layer]]/100)/Data_depth_integrated2[[#This Row],[Total_sampling_time]])</f>
        <v>1.6739130434782611E-2</v>
      </c>
      <c r="M85" s="14">
        <v>5.25</v>
      </c>
      <c r="N85" s="1" t="s">
        <v>413</v>
      </c>
      <c r="O85" s="13">
        <v>8.8783333333333325E-2</v>
      </c>
      <c r="P85" s="1"/>
    </row>
    <row r="86" spans="1:16" x14ac:dyDescent="0.3">
      <c r="A86" s="1" t="s">
        <v>793</v>
      </c>
      <c r="B86" s="2" t="str">
        <f>MID(Data_depth_integrated2[[#This Row],[Code_(plot+location+sub_location+sampling_day+HT/LT)]],1,SEARCH("_",Data_depth_integrated2[[#This Row],[Code_(plot+location+sub_location+sampling_day+HT/LT)]])-1)</f>
        <v>15</v>
      </c>
      <c r="C8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6" s="1" t="str">
        <f>MID(Data_depth_integrated2[[#This Row],[Code_(plot+location+sub_location+sampling_day+HT/LT)]],FIND("_Day",Data_depth_integrated2[[#This Row],[Code_(plot+location+sub_location+sampling_day+HT/LT)]])-1,1)</f>
        <v>2</v>
      </c>
      <c r="E8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86" s="3" t="b">
        <v>1</v>
      </c>
      <c r="G86" s="3" t="b">
        <v>1</v>
      </c>
      <c r="H86" s="3" t="b">
        <v>1</v>
      </c>
      <c r="I86" s="1">
        <v>78</v>
      </c>
      <c r="J86" s="1">
        <v>78</v>
      </c>
      <c r="K86" s="1">
        <v>49</v>
      </c>
      <c r="L86" s="13">
        <f>((Data_depth_integrated2[[#This Row],[Depth_of_water_column_to_sediment_layer]]/100)/Data_depth_integrated2[[#This Row],[Total_sampling_time]])</f>
        <v>1.5918367346938776E-2</v>
      </c>
      <c r="M86" s="14">
        <v>4.75</v>
      </c>
      <c r="N86" s="1" t="s">
        <v>398</v>
      </c>
      <c r="O86" s="13">
        <v>9.1500000000000012E-2</v>
      </c>
      <c r="P86" s="1"/>
    </row>
    <row r="87" spans="1:16" x14ac:dyDescent="0.3">
      <c r="A87" s="1" t="s">
        <v>794</v>
      </c>
      <c r="B87" s="2" t="str">
        <f>MID(Data_depth_integrated2[[#This Row],[Code_(plot+location+sub_location+sampling_day+HT/LT)]],1,SEARCH("_",Data_depth_integrated2[[#This Row],[Code_(plot+location+sub_location+sampling_day+HT/LT)]])-1)</f>
        <v>15</v>
      </c>
      <c r="C8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I</v>
      </c>
      <c r="D87" s="1" t="str">
        <f>MID(Data_depth_integrated2[[#This Row],[Code_(plot+location+sub_location+sampling_day+HT/LT)]],FIND("_Day",Data_depth_integrated2[[#This Row],[Code_(plot+location+sub_location+sampling_day+HT/LT)]])-1,1)</f>
        <v>2</v>
      </c>
      <c r="E8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87" s="3" t="b">
        <v>0</v>
      </c>
      <c r="G87" s="3" t="b">
        <v>1</v>
      </c>
      <c r="H87" s="3" t="b">
        <v>1</v>
      </c>
      <c r="I87" s="1">
        <v>77</v>
      </c>
      <c r="J87" s="1">
        <v>88</v>
      </c>
      <c r="K87" s="1">
        <v>48</v>
      </c>
      <c r="L87" s="13">
        <f>((Data_depth_integrated2[[#This Row],[Depth_of_water_column_to_sediment_layer]]/100)/Data_depth_integrated2[[#This Row],[Total_sampling_time]])</f>
        <v>1.6041666666666666E-2</v>
      </c>
      <c r="M87" s="14">
        <v>5.92</v>
      </c>
      <c r="N87" s="1" t="s">
        <v>390</v>
      </c>
      <c r="O87" s="13">
        <v>3.6099999999999993E-2</v>
      </c>
      <c r="P87" s="1"/>
    </row>
    <row r="88" spans="1:16" x14ac:dyDescent="0.3">
      <c r="A88" s="1" t="s">
        <v>795</v>
      </c>
      <c r="B88" s="2" t="str">
        <f>MID(Data_depth_integrated2[[#This Row],[Code_(plot+location+sub_location+sampling_day+HT/LT)]],1,SEARCH("_",Data_depth_integrated2[[#This Row],[Code_(plot+location+sub_location+sampling_day+HT/LT)]])-1)</f>
        <v>15</v>
      </c>
      <c r="C8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88" s="1" t="str">
        <f>MID(Data_depth_integrated2[[#This Row],[Code_(plot+location+sub_location+sampling_day+HT/LT)]],FIND("_Day",Data_depth_integrated2[[#This Row],[Code_(plot+location+sub_location+sampling_day+HT/LT)]])-1,1)</f>
        <v>1</v>
      </c>
      <c r="E8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88" s="3" t="b">
        <v>1</v>
      </c>
      <c r="G88" s="3" t="b">
        <v>1</v>
      </c>
      <c r="H88" s="3" t="b">
        <v>1</v>
      </c>
      <c r="I88" s="1">
        <v>66</v>
      </c>
      <c r="J88" s="1">
        <v>79</v>
      </c>
      <c r="K88" s="1">
        <v>44</v>
      </c>
      <c r="L88" s="13">
        <f>((Data_depth_integrated2[[#This Row],[Depth_of_water_column_to_sediment_layer]]/100)/Data_depth_integrated2[[#This Row],[Total_sampling_time]])</f>
        <v>1.5000000000000001E-2</v>
      </c>
      <c r="M88" s="14">
        <v>5.74</v>
      </c>
      <c r="N88" s="1" t="s">
        <v>306</v>
      </c>
      <c r="O88" s="13">
        <v>4.2983333333333318E-2</v>
      </c>
      <c r="P88" s="1"/>
    </row>
    <row r="89" spans="1:16" x14ac:dyDescent="0.3">
      <c r="A89" s="1" t="s">
        <v>796</v>
      </c>
      <c r="B89" s="2" t="str">
        <f>MID(Data_depth_integrated2[[#This Row],[Code_(plot+location+sub_location+sampling_day+HT/LT)]],1,SEARCH("_",Data_depth_integrated2[[#This Row],[Code_(plot+location+sub_location+sampling_day+HT/LT)]])-1)</f>
        <v>15</v>
      </c>
      <c r="C8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89" s="1" t="str">
        <f>MID(Data_depth_integrated2[[#This Row],[Code_(plot+location+sub_location+sampling_day+HT/LT)]],FIND("_Day",Data_depth_integrated2[[#This Row],[Code_(plot+location+sub_location+sampling_day+HT/LT)]])-1,1)</f>
        <v>1</v>
      </c>
      <c r="E8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89" s="3" t="b">
        <v>0</v>
      </c>
      <c r="G89" s="3" t="b">
        <v>1</v>
      </c>
      <c r="H89" s="3" t="b">
        <v>1</v>
      </c>
      <c r="I89" s="1">
        <v>59</v>
      </c>
      <c r="J89" s="1">
        <v>68</v>
      </c>
      <c r="K89" s="1">
        <v>59</v>
      </c>
      <c r="L89" s="13">
        <f>((Data_depth_integrated2[[#This Row],[Depth_of_water_column_to_sediment_layer]]/100)/Data_depth_integrated2[[#This Row],[Total_sampling_time]])</f>
        <v>0.01</v>
      </c>
      <c r="M89" s="14">
        <v>4.8899999999999997</v>
      </c>
      <c r="N89" s="1" t="s">
        <v>394</v>
      </c>
      <c r="O89" s="13">
        <v>8.8783333333333325E-2</v>
      </c>
      <c r="P89" s="1"/>
    </row>
    <row r="90" spans="1:16" x14ac:dyDescent="0.3">
      <c r="A90" s="1" t="s">
        <v>797</v>
      </c>
      <c r="B90" s="2" t="str">
        <f>MID(Data_depth_integrated2[[#This Row],[Code_(plot+location+sub_location+sampling_day+HT/LT)]],1,SEARCH("_",Data_depth_integrated2[[#This Row],[Code_(plot+location+sub_location+sampling_day+HT/LT)]])-1)</f>
        <v>15</v>
      </c>
      <c r="C9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0" s="1" t="str">
        <f>MID(Data_depth_integrated2[[#This Row],[Code_(plot+location+sub_location+sampling_day+HT/LT)]],FIND("_Day",Data_depth_integrated2[[#This Row],[Code_(plot+location+sub_location+sampling_day+HT/LT)]])-1,1)</f>
        <v>1</v>
      </c>
      <c r="E9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90" s="3" t="b">
        <v>1</v>
      </c>
      <c r="G90" s="3" t="b">
        <v>1</v>
      </c>
      <c r="H90" s="3" t="b">
        <v>1</v>
      </c>
      <c r="I90" s="1">
        <v>66</v>
      </c>
      <c r="J90" s="1">
        <v>79</v>
      </c>
      <c r="K90" s="1">
        <v>58</v>
      </c>
      <c r="L90" s="13">
        <f>((Data_depth_integrated2[[#This Row],[Depth_of_water_column_to_sediment_layer]]/100)/Data_depth_integrated2[[#This Row],[Total_sampling_time]])</f>
        <v>1.1379310344827587E-2</v>
      </c>
      <c r="M90" s="14">
        <v>5.13</v>
      </c>
      <c r="N90" s="1" t="s">
        <v>246</v>
      </c>
      <c r="O90" s="13">
        <v>3.8500000000000006E-2</v>
      </c>
      <c r="P90" s="1"/>
    </row>
    <row r="91" spans="1:16" x14ac:dyDescent="0.3">
      <c r="A91" s="1" t="s">
        <v>798</v>
      </c>
      <c r="B91" s="2" t="str">
        <f>MID(Data_depth_integrated2[[#This Row],[Code_(plot+location+sub_location+sampling_day+HT/LT)]],1,SEARCH("_",Data_depth_integrated2[[#This Row],[Code_(plot+location+sub_location+sampling_day+HT/LT)]])-1)</f>
        <v>15</v>
      </c>
      <c r="C9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1" s="1" t="str">
        <f>MID(Data_depth_integrated2[[#This Row],[Code_(plot+location+sub_location+sampling_day+HT/LT)]],FIND("_Day",Data_depth_integrated2[[#This Row],[Code_(plot+location+sub_location+sampling_day+HT/LT)]])-1,1)</f>
        <v>1</v>
      </c>
      <c r="E9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91" s="3" t="b">
        <v>0</v>
      </c>
      <c r="G91" s="3" t="b">
        <v>1</v>
      </c>
      <c r="H91" s="3" t="b">
        <v>1</v>
      </c>
      <c r="I91" s="1">
        <v>59</v>
      </c>
      <c r="J91" s="1">
        <v>68</v>
      </c>
      <c r="K91" s="1">
        <v>41</v>
      </c>
      <c r="L91" s="13">
        <f>((Data_depth_integrated2[[#This Row],[Depth_of_water_column_to_sediment_layer]]/100)/Data_depth_integrated2[[#This Row],[Total_sampling_time]])</f>
        <v>1.4390243902439023E-2</v>
      </c>
      <c r="M91" s="14">
        <v>5.42</v>
      </c>
      <c r="N91" s="1" t="s">
        <v>293</v>
      </c>
      <c r="O91" s="13">
        <v>9.4650000000000012E-2</v>
      </c>
      <c r="P91" s="1"/>
    </row>
    <row r="92" spans="1:16" x14ac:dyDescent="0.3">
      <c r="A92" s="1" t="s">
        <v>799</v>
      </c>
      <c r="B92" s="2" t="str">
        <f>MID(Data_depth_integrated2[[#This Row],[Code_(plot+location+sub_location+sampling_day+HT/LT)]],1,SEARCH("_",Data_depth_integrated2[[#This Row],[Code_(plot+location+sub_location+sampling_day+HT/LT)]])-1)</f>
        <v>15</v>
      </c>
      <c r="C9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2" s="1" t="str">
        <f>MID(Data_depth_integrated2[[#This Row],[Code_(plot+location+sub_location+sampling_day+HT/LT)]],FIND("_Day",Data_depth_integrated2[[#This Row],[Code_(plot+location+sub_location+sampling_day+HT/LT)]])-1,1)</f>
        <v>1</v>
      </c>
      <c r="E9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92" s="3" t="b">
        <v>1</v>
      </c>
      <c r="G92" s="3" t="b">
        <v>1</v>
      </c>
      <c r="H92" s="3" t="b">
        <v>1</v>
      </c>
      <c r="I92" s="1">
        <v>66</v>
      </c>
      <c r="J92" s="1">
        <v>79</v>
      </c>
      <c r="K92" s="1">
        <v>40</v>
      </c>
      <c r="L92" s="13">
        <f>((Data_depth_integrated2[[#This Row],[Depth_of_water_column_to_sediment_layer]]/100)/Data_depth_integrated2[[#This Row],[Total_sampling_time]])</f>
        <v>1.6500000000000001E-2</v>
      </c>
      <c r="M92" s="14">
        <v>5.25</v>
      </c>
      <c r="N92" s="1" t="s">
        <v>332</v>
      </c>
      <c r="O92" s="13">
        <v>5.2350000000000008E-2</v>
      </c>
      <c r="P92" s="1"/>
    </row>
    <row r="93" spans="1:16" x14ac:dyDescent="0.3">
      <c r="A93" s="1" t="s">
        <v>800</v>
      </c>
      <c r="B93" s="2" t="str">
        <f>MID(Data_depth_integrated2[[#This Row],[Code_(plot+location+sub_location+sampling_day+HT/LT)]],1,SEARCH("_",Data_depth_integrated2[[#This Row],[Code_(plot+location+sub_location+sampling_day+HT/LT)]])-1)</f>
        <v>15</v>
      </c>
      <c r="C9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3" s="1" t="str">
        <f>MID(Data_depth_integrated2[[#This Row],[Code_(plot+location+sub_location+sampling_day+HT/LT)]],FIND("_Day",Data_depth_integrated2[[#This Row],[Code_(plot+location+sub_location+sampling_day+HT/LT)]])-1,1)</f>
        <v>1</v>
      </c>
      <c r="E9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93" s="3" t="b">
        <v>0</v>
      </c>
      <c r="G93" s="3" t="b">
        <v>1</v>
      </c>
      <c r="H93" s="3" t="b">
        <v>1</v>
      </c>
      <c r="I93" s="1">
        <v>59</v>
      </c>
      <c r="J93" s="1">
        <v>68</v>
      </c>
      <c r="K93" s="1">
        <v>48</v>
      </c>
      <c r="L93" s="13">
        <f>((Data_depth_integrated2[[#This Row],[Depth_of_water_column_to_sediment_layer]]/100)/Data_depth_integrated2[[#This Row],[Total_sampling_time]])</f>
        <v>1.2291666666666666E-2</v>
      </c>
      <c r="M93" s="14">
        <v>5.49</v>
      </c>
      <c r="N93" s="1" t="s">
        <v>88</v>
      </c>
      <c r="O93" s="13">
        <v>6.3250000000000015E-2</v>
      </c>
      <c r="P93" s="1"/>
    </row>
    <row r="94" spans="1:16" x14ac:dyDescent="0.3">
      <c r="A94" s="1" t="s">
        <v>227</v>
      </c>
      <c r="B94" s="2" t="str">
        <f>MID(Data_depth_integrated2[[#This Row],[Code_(plot+location+sub_location+sampling_day+HT/LT)]],1,SEARCH("_",Data_depth_integrated2[[#This Row],[Code_(plot+location+sub_location+sampling_day+HT/LT)]])-1)</f>
        <v>15</v>
      </c>
      <c r="C9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4" s="1" t="str">
        <f>MID(Data_depth_integrated2[[#This Row],[Code_(plot+location+sub_location+sampling_day+HT/LT)]],FIND("_Day",Data_depth_integrated2[[#This Row],[Code_(plot+location+sub_location+sampling_day+HT/LT)]])-1,1)</f>
        <v>2</v>
      </c>
      <c r="E9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94" s="3" t="b">
        <v>1</v>
      </c>
      <c r="G94" s="3" t="b">
        <v>1</v>
      </c>
      <c r="H94" s="3" t="b">
        <v>1</v>
      </c>
      <c r="I94" s="1">
        <v>100</v>
      </c>
      <c r="J94" s="1">
        <v>115</v>
      </c>
      <c r="K94" s="1">
        <v>44</v>
      </c>
      <c r="L94" s="13">
        <f>((Data_depth_integrated2[[#This Row],[Depth_of_water_column_to_sediment_layer]]/100)/Data_depth_integrated2[[#This Row],[Total_sampling_time]])</f>
        <v>2.2727272727272728E-2</v>
      </c>
      <c r="M94" s="14">
        <v>5.6</v>
      </c>
      <c r="N94" s="1" t="s">
        <v>75</v>
      </c>
      <c r="O94" s="13">
        <v>5.7349999999999998E-2</v>
      </c>
      <c r="P94" s="1"/>
    </row>
    <row r="95" spans="1:16" x14ac:dyDescent="0.3">
      <c r="A95" s="1" t="s">
        <v>228</v>
      </c>
      <c r="B95" s="2" t="str">
        <f>MID(Data_depth_integrated2[[#This Row],[Code_(plot+location+sub_location+sampling_day+HT/LT)]],1,SEARCH("_",Data_depth_integrated2[[#This Row],[Code_(plot+location+sub_location+sampling_day+HT/LT)]])-1)</f>
        <v>15</v>
      </c>
      <c r="C9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5" s="1" t="str">
        <f>MID(Data_depth_integrated2[[#This Row],[Code_(plot+location+sub_location+sampling_day+HT/LT)]],FIND("_Day",Data_depth_integrated2[[#This Row],[Code_(plot+location+sub_location+sampling_day+HT/LT)]])-1,1)</f>
        <v>2</v>
      </c>
      <c r="E9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95" s="3" t="b">
        <v>0</v>
      </c>
      <c r="G95" s="3" t="b">
        <v>1</v>
      </c>
      <c r="H95" s="3" t="b">
        <v>1</v>
      </c>
      <c r="I95" s="1">
        <v>93</v>
      </c>
      <c r="J95" s="1">
        <v>98</v>
      </c>
      <c r="K95" s="1">
        <v>39</v>
      </c>
      <c r="L95" s="13">
        <f>((Data_depth_integrated2[[#This Row],[Depth_of_water_column_to_sediment_layer]]/100)/Data_depth_integrated2[[#This Row],[Total_sampling_time]])</f>
        <v>2.3846153846153847E-2</v>
      </c>
      <c r="M95" s="14">
        <v>5.68</v>
      </c>
      <c r="N95" s="1" t="s">
        <v>57</v>
      </c>
      <c r="O95" s="13">
        <v>4.2983333333333318E-2</v>
      </c>
      <c r="P95" s="1"/>
    </row>
    <row r="96" spans="1:16" x14ac:dyDescent="0.3">
      <c r="A96" s="1" t="s">
        <v>229</v>
      </c>
      <c r="B96" s="2" t="str">
        <f>MID(Data_depth_integrated2[[#This Row],[Code_(plot+location+sub_location+sampling_day+HT/LT)]],1,SEARCH("_",Data_depth_integrated2[[#This Row],[Code_(plot+location+sub_location+sampling_day+HT/LT)]])-1)</f>
        <v>15</v>
      </c>
      <c r="C9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6" s="1" t="str">
        <f>MID(Data_depth_integrated2[[#This Row],[Code_(plot+location+sub_location+sampling_day+HT/LT)]],FIND("_Day",Data_depth_integrated2[[#This Row],[Code_(plot+location+sub_location+sampling_day+HT/LT)]])-1,1)</f>
        <v>2</v>
      </c>
      <c r="E9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96" s="3" t="b">
        <v>1</v>
      </c>
      <c r="G96" s="3" t="b">
        <v>1</v>
      </c>
      <c r="H96" s="3" t="b">
        <v>1</v>
      </c>
      <c r="I96" s="1">
        <v>100</v>
      </c>
      <c r="J96" s="1">
        <v>115</v>
      </c>
      <c r="K96" s="1">
        <v>41</v>
      </c>
      <c r="L96" s="13">
        <f>((Data_depth_integrated2[[#This Row],[Depth_of_water_column_to_sediment_layer]]/100)/Data_depth_integrated2[[#This Row],[Total_sampling_time]])</f>
        <v>2.4390243902439025E-2</v>
      </c>
      <c r="M96" s="14">
        <v>4.7</v>
      </c>
      <c r="N96" s="1" t="s">
        <v>430</v>
      </c>
      <c r="O96" s="13">
        <v>4.9250000000000002E-2</v>
      </c>
      <c r="P96" s="1"/>
    </row>
    <row r="97" spans="1:16" x14ac:dyDescent="0.3">
      <c r="A97" s="1" t="s">
        <v>230</v>
      </c>
      <c r="B97" s="2" t="str">
        <f>MID(Data_depth_integrated2[[#This Row],[Code_(plot+location+sub_location+sampling_day+HT/LT)]],1,SEARCH("_",Data_depth_integrated2[[#This Row],[Code_(plot+location+sub_location+sampling_day+HT/LT)]])-1)</f>
        <v>15</v>
      </c>
      <c r="C9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7" s="1" t="str">
        <f>MID(Data_depth_integrated2[[#This Row],[Code_(plot+location+sub_location+sampling_day+HT/LT)]],FIND("_Day",Data_depth_integrated2[[#This Row],[Code_(plot+location+sub_location+sampling_day+HT/LT)]])-1,1)</f>
        <v>2</v>
      </c>
      <c r="E9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97" s="3" t="b">
        <v>0</v>
      </c>
      <c r="G97" s="3" t="b">
        <v>1</v>
      </c>
      <c r="H97" s="3" t="b">
        <v>1</v>
      </c>
      <c r="I97" s="1">
        <v>93</v>
      </c>
      <c r="J97" s="1">
        <v>98</v>
      </c>
      <c r="K97" s="1">
        <v>58</v>
      </c>
      <c r="L97" s="13">
        <f>((Data_depth_integrated2[[#This Row],[Depth_of_water_column_to_sediment_layer]]/100)/Data_depth_integrated2[[#This Row],[Total_sampling_time]])</f>
        <v>1.603448275862069E-2</v>
      </c>
      <c r="M97" s="14">
        <v>5.83</v>
      </c>
      <c r="N97" s="1" t="s">
        <v>58</v>
      </c>
      <c r="O97" s="13">
        <v>4.7799999999999995E-2</v>
      </c>
      <c r="P97" s="1"/>
    </row>
    <row r="98" spans="1:16" x14ac:dyDescent="0.3">
      <c r="A98" s="1" t="s">
        <v>231</v>
      </c>
      <c r="B98" s="2" t="str">
        <f>MID(Data_depth_integrated2[[#This Row],[Code_(plot+location+sub_location+sampling_day+HT/LT)]],1,SEARCH("_",Data_depth_integrated2[[#This Row],[Code_(plot+location+sub_location+sampling_day+HT/LT)]])-1)</f>
        <v>15</v>
      </c>
      <c r="C9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8" s="1" t="str">
        <f>MID(Data_depth_integrated2[[#This Row],[Code_(plot+location+sub_location+sampling_day+HT/LT)]],FIND("_Day",Data_depth_integrated2[[#This Row],[Code_(plot+location+sub_location+sampling_day+HT/LT)]])-1,1)</f>
        <v>2</v>
      </c>
      <c r="E9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98" s="3" t="b">
        <v>1</v>
      </c>
      <c r="G98" s="3" t="b">
        <v>1</v>
      </c>
      <c r="H98" s="3" t="b">
        <v>1</v>
      </c>
      <c r="I98" s="1">
        <v>100</v>
      </c>
      <c r="J98" s="1">
        <v>115</v>
      </c>
      <c r="K98" s="1">
        <v>58</v>
      </c>
      <c r="L98" s="13">
        <f>((Data_depth_integrated2[[#This Row],[Depth_of_water_column_to_sediment_layer]]/100)/Data_depth_integrated2[[#This Row],[Total_sampling_time]])</f>
        <v>1.7241379310344827E-2</v>
      </c>
      <c r="M98" s="14">
        <v>5.05</v>
      </c>
      <c r="N98" s="1" t="s">
        <v>104</v>
      </c>
      <c r="O98" s="13">
        <v>6.2000000000000111E-3</v>
      </c>
      <c r="P98" s="1"/>
    </row>
    <row r="99" spans="1:16" x14ac:dyDescent="0.3">
      <c r="A99" s="1" t="s">
        <v>232</v>
      </c>
      <c r="B99" s="2" t="str">
        <f>MID(Data_depth_integrated2[[#This Row],[Code_(plot+location+sub_location+sampling_day+HT/LT)]],1,SEARCH("_",Data_depth_integrated2[[#This Row],[Code_(plot+location+sub_location+sampling_day+HT/LT)]])-1)</f>
        <v>15</v>
      </c>
      <c r="C9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J</v>
      </c>
      <c r="D99" s="1" t="str">
        <f>MID(Data_depth_integrated2[[#This Row],[Code_(plot+location+sub_location+sampling_day+HT/LT)]],FIND("_Day",Data_depth_integrated2[[#This Row],[Code_(plot+location+sub_location+sampling_day+HT/LT)]])-1,1)</f>
        <v>2</v>
      </c>
      <c r="E9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99" s="3" t="b">
        <v>0</v>
      </c>
      <c r="G99" s="3" t="b">
        <v>1</v>
      </c>
      <c r="H99" s="3" t="b">
        <v>1</v>
      </c>
      <c r="I99" s="1">
        <v>93</v>
      </c>
      <c r="J99" s="1">
        <v>98</v>
      </c>
      <c r="K99" s="1">
        <v>42</v>
      </c>
      <c r="L99" s="13">
        <f>((Data_depth_integrated2[[#This Row],[Depth_of_water_column_to_sediment_layer]]/100)/Data_depth_integrated2[[#This Row],[Total_sampling_time]])</f>
        <v>2.2142857142857145E-2</v>
      </c>
      <c r="M99" s="14">
        <v>4.82</v>
      </c>
      <c r="N99" s="1" t="s">
        <v>95</v>
      </c>
      <c r="O99" s="13">
        <v>8.8783333333333325E-2</v>
      </c>
      <c r="P99" s="1"/>
    </row>
    <row r="100" spans="1:16" x14ac:dyDescent="0.3">
      <c r="A100" s="1" t="s">
        <v>801</v>
      </c>
      <c r="B100" s="2" t="str">
        <f>MID(Data_depth_integrated2[[#This Row],[Code_(plot+location+sub_location+sampling_day+HT/LT)]],1,SEARCH("_",Data_depth_integrated2[[#This Row],[Code_(plot+location+sub_location+sampling_day+HT/LT)]])-1)</f>
        <v>15</v>
      </c>
      <c r="C10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0" s="1" t="str">
        <f>MID(Data_depth_integrated2[[#This Row],[Code_(plot+location+sub_location+sampling_day+HT/LT)]],FIND("_Day",Data_depth_integrated2[[#This Row],[Code_(plot+location+sub_location+sampling_day+HT/LT)]])-1,1)</f>
        <v>1</v>
      </c>
      <c r="E10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00" s="3" t="b">
        <v>1</v>
      </c>
      <c r="G100" s="3" t="b">
        <v>1</v>
      </c>
      <c r="H100" s="3" t="b">
        <v>1</v>
      </c>
      <c r="I100" s="1">
        <v>66</v>
      </c>
      <c r="J100" s="1">
        <v>87</v>
      </c>
      <c r="K100" s="1">
        <v>45</v>
      </c>
      <c r="L100" s="13">
        <f>((Data_depth_integrated2[[#This Row],[Depth_of_water_column_to_sediment_layer]]/100)/Data_depth_integrated2[[#This Row],[Total_sampling_time]])</f>
        <v>1.4666666666666668E-2</v>
      </c>
      <c r="M100" s="14">
        <v>4.8</v>
      </c>
      <c r="N100" s="1" t="s">
        <v>318</v>
      </c>
      <c r="O100" s="13">
        <v>8.2383333333333322E-2</v>
      </c>
    </row>
    <row r="101" spans="1:16" x14ac:dyDescent="0.3">
      <c r="A101" s="1" t="s">
        <v>802</v>
      </c>
      <c r="B101" s="2" t="str">
        <f>MID(Data_depth_integrated2[[#This Row],[Code_(plot+location+sub_location+sampling_day+HT/LT)]],1,SEARCH("_",Data_depth_integrated2[[#This Row],[Code_(plot+location+sub_location+sampling_day+HT/LT)]])-1)</f>
        <v>15</v>
      </c>
      <c r="C10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1" s="1" t="str">
        <f>MID(Data_depth_integrated2[[#This Row],[Code_(plot+location+sub_location+sampling_day+HT/LT)]],FIND("_Day",Data_depth_integrated2[[#This Row],[Code_(plot+location+sub_location+sampling_day+HT/LT)]])-1,1)</f>
        <v>1</v>
      </c>
      <c r="E10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01" s="3" t="b">
        <v>0</v>
      </c>
      <c r="G101" s="3" t="b">
        <v>1</v>
      </c>
      <c r="H101" s="3" t="b">
        <v>1</v>
      </c>
      <c r="I101" s="1">
        <v>59</v>
      </c>
      <c r="J101" s="1">
        <v>78</v>
      </c>
      <c r="K101" s="1">
        <v>43</v>
      </c>
      <c r="L101" s="13">
        <f>((Data_depth_integrated2[[#This Row],[Depth_of_water_column_to_sediment_layer]]/100)/Data_depth_integrated2[[#This Row],[Total_sampling_time]])</f>
        <v>1.3720930232558139E-2</v>
      </c>
      <c r="M101" s="14">
        <v>5.34</v>
      </c>
      <c r="N101" s="1" t="s">
        <v>344</v>
      </c>
      <c r="O101" s="13">
        <v>4.3900000000000008E-2</v>
      </c>
    </row>
    <row r="102" spans="1:16" x14ac:dyDescent="0.3">
      <c r="A102" s="1" t="s">
        <v>803</v>
      </c>
      <c r="B102" s="2" t="str">
        <f>MID(Data_depth_integrated2[[#This Row],[Code_(plot+location+sub_location+sampling_day+HT/LT)]],1,SEARCH("_",Data_depth_integrated2[[#This Row],[Code_(plot+location+sub_location+sampling_day+HT/LT)]])-1)</f>
        <v>15</v>
      </c>
      <c r="C10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2" s="1" t="str">
        <f>MID(Data_depth_integrated2[[#This Row],[Code_(plot+location+sub_location+sampling_day+HT/LT)]],FIND("_Day",Data_depth_integrated2[[#This Row],[Code_(plot+location+sub_location+sampling_day+HT/LT)]])-1,1)</f>
        <v>1</v>
      </c>
      <c r="E10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02" s="3" t="b">
        <v>1</v>
      </c>
      <c r="G102" s="3" t="b">
        <v>1</v>
      </c>
      <c r="H102" s="3" t="b">
        <v>1</v>
      </c>
      <c r="I102" s="1">
        <v>66</v>
      </c>
      <c r="J102" s="1">
        <v>87</v>
      </c>
      <c r="K102" s="1">
        <v>45</v>
      </c>
      <c r="L102" s="13">
        <f>((Data_depth_integrated2[[#This Row],[Depth_of_water_column_to_sediment_layer]]/100)/Data_depth_integrated2[[#This Row],[Total_sampling_time]])</f>
        <v>1.4666666666666668E-2</v>
      </c>
      <c r="M102" s="14">
        <v>5.0599999999999996</v>
      </c>
      <c r="N102" s="1" t="s">
        <v>31</v>
      </c>
      <c r="O102" s="13">
        <v>2.2400000000000003E-2</v>
      </c>
    </row>
    <row r="103" spans="1:16" x14ac:dyDescent="0.3">
      <c r="A103" s="1" t="s">
        <v>804</v>
      </c>
      <c r="B103" s="2" t="str">
        <f>MID(Data_depth_integrated2[[#This Row],[Code_(plot+location+sub_location+sampling_day+HT/LT)]],1,SEARCH("_",Data_depth_integrated2[[#This Row],[Code_(plot+location+sub_location+sampling_day+HT/LT)]])-1)</f>
        <v>15</v>
      </c>
      <c r="C10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3" s="1" t="str">
        <f>MID(Data_depth_integrated2[[#This Row],[Code_(plot+location+sub_location+sampling_day+HT/LT)]],FIND("_Day",Data_depth_integrated2[[#This Row],[Code_(plot+location+sub_location+sampling_day+HT/LT)]])-1,1)</f>
        <v>1</v>
      </c>
      <c r="E10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03" s="3" t="b">
        <v>0</v>
      </c>
      <c r="G103" s="3" t="b">
        <v>1</v>
      </c>
      <c r="H103" s="3" t="b">
        <v>1</v>
      </c>
      <c r="I103" s="1">
        <v>59</v>
      </c>
      <c r="J103" s="1">
        <v>78</v>
      </c>
      <c r="K103" s="1">
        <v>60</v>
      </c>
      <c r="L103" s="13">
        <f>((Data_depth_integrated2[[#This Row],[Depth_of_water_column_to_sediment_layer]]/100)/Data_depth_integrated2[[#This Row],[Total_sampling_time]])</f>
        <v>9.8333333333333328E-3</v>
      </c>
      <c r="M103" s="14">
        <v>5.87</v>
      </c>
      <c r="N103" s="1" t="s">
        <v>354</v>
      </c>
      <c r="O103" s="13">
        <v>7.8099999999999989E-2</v>
      </c>
    </row>
    <row r="104" spans="1:16" x14ac:dyDescent="0.3">
      <c r="A104" s="1" t="s">
        <v>805</v>
      </c>
      <c r="B104" s="2" t="str">
        <f>MID(Data_depth_integrated2[[#This Row],[Code_(plot+location+sub_location+sampling_day+HT/LT)]],1,SEARCH("_",Data_depth_integrated2[[#This Row],[Code_(plot+location+sub_location+sampling_day+HT/LT)]])-1)</f>
        <v>15</v>
      </c>
      <c r="C10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4" s="1" t="str">
        <f>MID(Data_depth_integrated2[[#This Row],[Code_(plot+location+sub_location+sampling_day+HT/LT)]],FIND("_Day",Data_depth_integrated2[[#This Row],[Code_(plot+location+sub_location+sampling_day+HT/LT)]])-1,1)</f>
        <v>1</v>
      </c>
      <c r="E10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04" s="3" t="b">
        <v>1</v>
      </c>
      <c r="G104" s="3" t="b">
        <v>1</v>
      </c>
      <c r="H104" s="3" t="b">
        <v>1</v>
      </c>
      <c r="I104" s="1">
        <v>66</v>
      </c>
      <c r="J104" s="1">
        <v>87</v>
      </c>
      <c r="K104" s="1">
        <v>44</v>
      </c>
      <c r="L104" s="13">
        <f>((Data_depth_integrated2[[#This Row],[Depth_of_water_column_to_sediment_layer]]/100)/Data_depth_integrated2[[#This Row],[Total_sampling_time]])</f>
        <v>1.5000000000000001E-2</v>
      </c>
      <c r="M104" s="14">
        <v>5.67</v>
      </c>
      <c r="N104" s="1" t="s">
        <v>96</v>
      </c>
      <c r="O104" s="13">
        <v>4.9600000000000019E-2</v>
      </c>
    </row>
    <row r="105" spans="1:16" x14ac:dyDescent="0.3">
      <c r="A105" s="1" t="s">
        <v>806</v>
      </c>
      <c r="B105" s="2" t="str">
        <f>MID(Data_depth_integrated2[[#This Row],[Code_(plot+location+sub_location+sampling_day+HT/LT)]],1,SEARCH("_",Data_depth_integrated2[[#This Row],[Code_(plot+location+sub_location+sampling_day+HT/LT)]])-1)</f>
        <v>15</v>
      </c>
      <c r="C10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5" s="1" t="str">
        <f>MID(Data_depth_integrated2[[#This Row],[Code_(plot+location+sub_location+sampling_day+HT/LT)]],FIND("_Day",Data_depth_integrated2[[#This Row],[Code_(plot+location+sub_location+sampling_day+HT/LT)]])-1,1)</f>
        <v>1</v>
      </c>
      <c r="E10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05" s="3" t="b">
        <v>0</v>
      </c>
      <c r="G105" s="3" t="b">
        <v>1</v>
      </c>
      <c r="H105" s="3" t="b">
        <v>1</v>
      </c>
      <c r="I105" s="1">
        <v>59</v>
      </c>
      <c r="J105" s="1">
        <v>78</v>
      </c>
      <c r="K105" s="1">
        <v>48</v>
      </c>
      <c r="L105" s="13">
        <f>((Data_depth_integrated2[[#This Row],[Depth_of_water_column_to_sediment_layer]]/100)/Data_depth_integrated2[[#This Row],[Total_sampling_time]])</f>
        <v>1.2291666666666666E-2</v>
      </c>
      <c r="M105" s="14">
        <v>5.07</v>
      </c>
      <c r="N105" s="1" t="s">
        <v>437</v>
      </c>
      <c r="O105" s="13">
        <v>8.8783333333333325E-2</v>
      </c>
    </row>
    <row r="106" spans="1:16" x14ac:dyDescent="0.3">
      <c r="A106" s="1" t="s">
        <v>233</v>
      </c>
      <c r="B106" s="2" t="str">
        <f>MID(Data_depth_integrated2[[#This Row],[Code_(plot+location+sub_location+sampling_day+HT/LT)]],1,SEARCH("_",Data_depth_integrated2[[#This Row],[Code_(plot+location+sub_location+sampling_day+HT/LT)]])-1)</f>
        <v>15</v>
      </c>
      <c r="C10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6" s="1" t="str">
        <f>MID(Data_depth_integrated2[[#This Row],[Code_(plot+location+sub_location+sampling_day+HT/LT)]],FIND("_Day",Data_depth_integrated2[[#This Row],[Code_(plot+location+sub_location+sampling_day+HT/LT)]])-1,1)</f>
        <v>2</v>
      </c>
      <c r="E10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06" s="3" t="b">
        <v>1</v>
      </c>
      <c r="G106" s="3" t="b">
        <v>1</v>
      </c>
      <c r="H106" s="3" t="b">
        <v>1</v>
      </c>
      <c r="I106" s="1">
        <v>62</v>
      </c>
      <c r="J106" s="1">
        <v>64</v>
      </c>
      <c r="K106" s="1">
        <v>47</v>
      </c>
      <c r="L106" s="13">
        <f>((Data_depth_integrated2[[#This Row],[Depth_of_water_column_to_sediment_layer]]/100)/Data_depth_integrated2[[#This Row],[Total_sampling_time]])</f>
        <v>1.3191489361702127E-2</v>
      </c>
      <c r="M106" s="14">
        <v>4.91</v>
      </c>
      <c r="N106" s="1" t="s">
        <v>294</v>
      </c>
      <c r="O106" s="13">
        <v>3.8250000000000006E-2</v>
      </c>
    </row>
    <row r="107" spans="1:16" x14ac:dyDescent="0.3">
      <c r="A107" s="1" t="s">
        <v>234</v>
      </c>
      <c r="B107" s="2" t="str">
        <f>MID(Data_depth_integrated2[[#This Row],[Code_(plot+location+sub_location+sampling_day+HT/LT)]],1,SEARCH("_",Data_depth_integrated2[[#This Row],[Code_(plot+location+sub_location+sampling_day+HT/LT)]])-1)</f>
        <v>15</v>
      </c>
      <c r="C10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7" s="1" t="str">
        <f>MID(Data_depth_integrated2[[#This Row],[Code_(plot+location+sub_location+sampling_day+HT/LT)]],FIND("_Day",Data_depth_integrated2[[#This Row],[Code_(plot+location+sub_location+sampling_day+HT/LT)]])-1,1)</f>
        <v>2</v>
      </c>
      <c r="E10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07" s="3" t="b">
        <v>0</v>
      </c>
      <c r="G107" s="3" t="b">
        <v>1</v>
      </c>
      <c r="H107" s="3" t="b">
        <v>1</v>
      </c>
      <c r="I107" s="1">
        <v>58</v>
      </c>
      <c r="J107" s="1">
        <v>59</v>
      </c>
      <c r="K107" s="1">
        <v>53</v>
      </c>
      <c r="L107" s="13">
        <f>((Data_depth_integrated2[[#This Row],[Depth_of_water_column_to_sediment_layer]]/100)/Data_depth_integrated2[[#This Row],[Total_sampling_time]])</f>
        <v>1.0943396226415094E-2</v>
      </c>
      <c r="M107" s="14">
        <v>5.82</v>
      </c>
      <c r="N107" s="1" t="s">
        <v>61</v>
      </c>
      <c r="O107" s="13">
        <v>5.5700000000000013E-2</v>
      </c>
    </row>
    <row r="108" spans="1:16" x14ac:dyDescent="0.3">
      <c r="A108" s="1" t="s">
        <v>235</v>
      </c>
      <c r="B108" s="2" t="str">
        <f>MID(Data_depth_integrated2[[#This Row],[Code_(plot+location+sub_location+sampling_day+HT/LT)]],1,SEARCH("_",Data_depth_integrated2[[#This Row],[Code_(plot+location+sub_location+sampling_day+HT/LT)]])-1)</f>
        <v>15</v>
      </c>
      <c r="C10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8" s="1" t="str">
        <f>MID(Data_depth_integrated2[[#This Row],[Code_(plot+location+sub_location+sampling_day+HT/LT)]],FIND("_Day",Data_depth_integrated2[[#This Row],[Code_(plot+location+sub_location+sampling_day+HT/LT)]])-1,1)</f>
        <v>2</v>
      </c>
      <c r="E10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08" s="3" t="b">
        <v>1</v>
      </c>
      <c r="G108" s="3" t="b">
        <v>1</v>
      </c>
      <c r="H108" s="3" t="b">
        <v>1</v>
      </c>
      <c r="I108" s="1">
        <v>62</v>
      </c>
      <c r="J108" s="1">
        <v>64</v>
      </c>
      <c r="K108" s="1">
        <v>41</v>
      </c>
      <c r="L108" s="13">
        <f>((Data_depth_integrated2[[#This Row],[Depth_of_water_column_to_sediment_layer]]/100)/Data_depth_integrated2[[#This Row],[Total_sampling_time]])</f>
        <v>1.5121951219512195E-2</v>
      </c>
      <c r="M108" s="14">
        <v>5.89</v>
      </c>
      <c r="N108" s="1" t="s">
        <v>109</v>
      </c>
      <c r="O108" s="13">
        <v>3.8250000000000006E-2</v>
      </c>
    </row>
    <row r="109" spans="1:16" x14ac:dyDescent="0.3">
      <c r="A109" s="1" t="s">
        <v>236</v>
      </c>
      <c r="B109" s="2" t="str">
        <f>MID(Data_depth_integrated2[[#This Row],[Code_(plot+location+sub_location+sampling_day+HT/LT)]],1,SEARCH("_",Data_depth_integrated2[[#This Row],[Code_(plot+location+sub_location+sampling_day+HT/LT)]])-1)</f>
        <v>15</v>
      </c>
      <c r="C10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09" s="1" t="str">
        <f>MID(Data_depth_integrated2[[#This Row],[Code_(plot+location+sub_location+sampling_day+HT/LT)]],FIND("_Day",Data_depth_integrated2[[#This Row],[Code_(plot+location+sub_location+sampling_day+HT/LT)]])-1,1)</f>
        <v>2</v>
      </c>
      <c r="E10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09" s="3" t="b">
        <v>0</v>
      </c>
      <c r="G109" s="3" t="b">
        <v>1</v>
      </c>
      <c r="H109" s="3" t="b">
        <v>1</v>
      </c>
      <c r="I109" s="1">
        <v>58</v>
      </c>
      <c r="J109" s="1">
        <v>59</v>
      </c>
      <c r="K109" s="1">
        <v>53</v>
      </c>
      <c r="L109" s="13">
        <f>((Data_depth_integrated2[[#This Row],[Depth_of_water_column_to_sediment_layer]]/100)/Data_depth_integrated2[[#This Row],[Total_sampling_time]])</f>
        <v>1.0943396226415094E-2</v>
      </c>
      <c r="M109" s="14">
        <v>5.48</v>
      </c>
      <c r="N109" s="1" t="s">
        <v>34</v>
      </c>
      <c r="O109" s="13">
        <v>2.5549999999999989E-2</v>
      </c>
    </row>
    <row r="110" spans="1:16" x14ac:dyDescent="0.3">
      <c r="A110" s="1" t="s">
        <v>237</v>
      </c>
      <c r="B110" s="2" t="str">
        <f>MID(Data_depth_integrated2[[#This Row],[Code_(plot+location+sub_location+sampling_day+HT/LT)]],1,SEARCH("_",Data_depth_integrated2[[#This Row],[Code_(plot+location+sub_location+sampling_day+HT/LT)]])-1)</f>
        <v>15</v>
      </c>
      <c r="C11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10" s="1" t="str">
        <f>MID(Data_depth_integrated2[[#This Row],[Code_(plot+location+sub_location+sampling_day+HT/LT)]],FIND("_Day",Data_depth_integrated2[[#This Row],[Code_(plot+location+sub_location+sampling_day+HT/LT)]])-1,1)</f>
        <v>2</v>
      </c>
      <c r="E11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10" s="3" t="b">
        <v>1</v>
      </c>
      <c r="G110" s="3" t="b">
        <v>1</v>
      </c>
      <c r="H110" s="3" t="b">
        <v>1</v>
      </c>
      <c r="I110" s="1">
        <v>62</v>
      </c>
      <c r="J110" s="1">
        <v>64</v>
      </c>
      <c r="K110" s="1">
        <v>46</v>
      </c>
      <c r="L110" s="13">
        <f>((Data_depth_integrated2[[#This Row],[Depth_of_water_column_to_sediment_layer]]/100)/Data_depth_integrated2[[#This Row],[Total_sampling_time]])</f>
        <v>1.3478260869565217E-2</v>
      </c>
      <c r="M110" s="14">
        <v>5.39</v>
      </c>
      <c r="N110" s="1" t="s">
        <v>244</v>
      </c>
      <c r="O110" s="13">
        <v>3.9199999999999999E-2</v>
      </c>
    </row>
    <row r="111" spans="1:16" x14ac:dyDescent="0.3">
      <c r="A111" s="1" t="s">
        <v>238</v>
      </c>
      <c r="B111" s="2" t="str">
        <f>MID(Data_depth_integrated2[[#This Row],[Code_(plot+location+sub_location+sampling_day+HT/LT)]],1,SEARCH("_",Data_depth_integrated2[[#This Row],[Code_(plot+location+sub_location+sampling_day+HT/LT)]])-1)</f>
        <v>15</v>
      </c>
      <c r="C11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K</v>
      </c>
      <c r="D111" s="1" t="str">
        <f>MID(Data_depth_integrated2[[#This Row],[Code_(plot+location+sub_location+sampling_day+HT/LT)]],FIND("_Day",Data_depth_integrated2[[#This Row],[Code_(plot+location+sub_location+sampling_day+HT/LT)]])-1,1)</f>
        <v>2</v>
      </c>
      <c r="E11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11" s="3" t="b">
        <v>0</v>
      </c>
      <c r="G111" s="3" t="b">
        <v>1</v>
      </c>
      <c r="H111" s="3" t="b">
        <v>1</v>
      </c>
      <c r="I111" s="1">
        <v>58</v>
      </c>
      <c r="J111" s="1">
        <v>59</v>
      </c>
      <c r="K111" s="1">
        <v>46</v>
      </c>
      <c r="L111" s="13">
        <f>((Data_depth_integrated2[[#This Row],[Depth_of_water_column_to_sediment_layer]]/100)/Data_depth_integrated2[[#This Row],[Total_sampling_time]])</f>
        <v>1.2608695652173912E-2</v>
      </c>
      <c r="M111" s="14">
        <v>5.51</v>
      </c>
      <c r="N111" s="1" t="s">
        <v>242</v>
      </c>
      <c r="O111" s="13">
        <v>3.4016666666666667E-2</v>
      </c>
    </row>
    <row r="112" spans="1:16" x14ac:dyDescent="0.3">
      <c r="A112" s="1" t="s">
        <v>807</v>
      </c>
      <c r="B112" s="2" t="str">
        <f>MID(Data_depth_integrated2[[#This Row],[Code_(plot+location+sub_location+sampling_day+HT/LT)]],1,SEARCH("_",Data_depth_integrated2[[#This Row],[Code_(plot+location+sub_location+sampling_day+HT/LT)]])-1)</f>
        <v>6</v>
      </c>
      <c r="C11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2" s="1" t="str">
        <f>MID(Data_depth_integrated2[[#This Row],[Code_(plot+location+sub_location+sampling_day+HT/LT)]],FIND("_Day",Data_depth_integrated2[[#This Row],[Code_(plot+location+sub_location+sampling_day+HT/LT)]])-1,1)</f>
        <v>1</v>
      </c>
      <c r="E11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12" s="3" t="b">
        <v>1</v>
      </c>
      <c r="G112" s="3" t="b">
        <v>0</v>
      </c>
      <c r="H112" s="3" t="b">
        <v>1</v>
      </c>
      <c r="I112" s="1">
        <v>27</v>
      </c>
      <c r="J112" s="1">
        <v>31</v>
      </c>
      <c r="K112" s="1">
        <v>40</v>
      </c>
      <c r="L112" s="13">
        <f>((Data_depth_integrated2[[#This Row],[Depth_of_water_column_to_sediment_layer]]/100)/Data_depth_integrated2[[#This Row],[Total_sampling_time]])</f>
        <v>6.7500000000000008E-3</v>
      </c>
      <c r="M112" s="14">
        <v>4.8899999999999997</v>
      </c>
      <c r="N112" s="1" t="s">
        <v>400</v>
      </c>
      <c r="O112" s="13">
        <v>4.9600000000000019E-2</v>
      </c>
    </row>
    <row r="113" spans="1:15" x14ac:dyDescent="0.3">
      <c r="A113" s="1" t="s">
        <v>808</v>
      </c>
      <c r="B113" s="2" t="str">
        <f>MID(Data_depth_integrated2[[#This Row],[Code_(plot+location+sub_location+sampling_day+HT/LT)]],1,SEARCH("_",Data_depth_integrated2[[#This Row],[Code_(plot+location+sub_location+sampling_day+HT/LT)]])-1)</f>
        <v>6</v>
      </c>
      <c r="C11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3" s="1" t="str">
        <f>MID(Data_depth_integrated2[[#This Row],[Code_(plot+location+sub_location+sampling_day+HT/LT)]],FIND("_Day",Data_depth_integrated2[[#This Row],[Code_(plot+location+sub_location+sampling_day+HT/LT)]])-1,1)</f>
        <v>1</v>
      </c>
      <c r="E11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13" s="3" t="b">
        <v>0</v>
      </c>
      <c r="G113" s="3" t="b">
        <v>0</v>
      </c>
      <c r="H113" s="3" t="b">
        <v>1</v>
      </c>
      <c r="I113" s="1">
        <v>23</v>
      </c>
      <c r="J113" s="1">
        <v>28</v>
      </c>
      <c r="K113" s="1">
        <v>58</v>
      </c>
      <c r="L113" s="13">
        <f>((Data_depth_integrated2[[#This Row],[Depth_of_water_column_to_sediment_layer]]/100)/Data_depth_integrated2[[#This Row],[Total_sampling_time]])</f>
        <v>3.9655172413793106E-3</v>
      </c>
      <c r="M113" s="14">
        <v>5.88</v>
      </c>
      <c r="N113" s="1" t="s">
        <v>360</v>
      </c>
      <c r="O113" s="13">
        <v>5.2350000000000008E-2</v>
      </c>
    </row>
    <row r="114" spans="1:15" x14ac:dyDescent="0.3">
      <c r="A114" s="1" t="s">
        <v>809</v>
      </c>
      <c r="B114" s="2" t="str">
        <f>MID(Data_depth_integrated2[[#This Row],[Code_(plot+location+sub_location+sampling_day+HT/LT)]],1,SEARCH("_",Data_depth_integrated2[[#This Row],[Code_(plot+location+sub_location+sampling_day+HT/LT)]])-1)</f>
        <v>6</v>
      </c>
      <c r="C11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4" s="1" t="str">
        <f>MID(Data_depth_integrated2[[#This Row],[Code_(plot+location+sub_location+sampling_day+HT/LT)]],FIND("_Day",Data_depth_integrated2[[#This Row],[Code_(plot+location+sub_location+sampling_day+HT/LT)]])-1,1)</f>
        <v>1</v>
      </c>
      <c r="E11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14" s="3" t="b">
        <v>1</v>
      </c>
      <c r="G114" s="3" t="b">
        <v>0</v>
      </c>
      <c r="H114" s="3" t="b">
        <v>1</v>
      </c>
      <c r="I114" s="1">
        <v>27</v>
      </c>
      <c r="J114" s="1">
        <v>31</v>
      </c>
      <c r="K114" s="1">
        <v>49</v>
      </c>
      <c r="L114" s="13">
        <f>((Data_depth_integrated2[[#This Row],[Depth_of_water_column_to_sediment_layer]]/100)/Data_depth_integrated2[[#This Row],[Total_sampling_time]])</f>
        <v>5.5102040816326532E-3</v>
      </c>
      <c r="M114" s="14">
        <v>5.91</v>
      </c>
      <c r="N114" s="1" t="s">
        <v>290</v>
      </c>
      <c r="O114" s="13">
        <v>3.5883333333333337E-2</v>
      </c>
    </row>
    <row r="115" spans="1:15" x14ac:dyDescent="0.3">
      <c r="A115" s="1" t="s">
        <v>810</v>
      </c>
      <c r="B115" s="2" t="str">
        <f>MID(Data_depth_integrated2[[#This Row],[Code_(plot+location+sub_location+sampling_day+HT/LT)]],1,SEARCH("_",Data_depth_integrated2[[#This Row],[Code_(plot+location+sub_location+sampling_day+HT/LT)]])-1)</f>
        <v>6</v>
      </c>
      <c r="C11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5" s="1" t="str">
        <f>MID(Data_depth_integrated2[[#This Row],[Code_(plot+location+sub_location+sampling_day+HT/LT)]],FIND("_Day",Data_depth_integrated2[[#This Row],[Code_(plot+location+sub_location+sampling_day+HT/LT)]])-1,1)</f>
        <v>1</v>
      </c>
      <c r="E11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15" s="3" t="b">
        <v>0</v>
      </c>
      <c r="G115" s="3" t="b">
        <v>0</v>
      </c>
      <c r="H115" s="3" t="b">
        <v>1</v>
      </c>
      <c r="I115" s="1">
        <v>23</v>
      </c>
      <c r="J115" s="1">
        <v>28</v>
      </c>
      <c r="K115" s="1">
        <v>57</v>
      </c>
      <c r="L115" s="13">
        <f>((Data_depth_integrated2[[#This Row],[Depth_of_water_column_to_sediment_layer]]/100)/Data_depth_integrated2[[#This Row],[Total_sampling_time]])</f>
        <v>4.0350877192982457E-3</v>
      </c>
      <c r="M115" s="14">
        <v>5.77</v>
      </c>
      <c r="N115" s="1" t="s">
        <v>286</v>
      </c>
      <c r="O115" s="13">
        <v>8.7633333333333341E-2</v>
      </c>
    </row>
    <row r="116" spans="1:15" x14ac:dyDescent="0.3">
      <c r="A116" s="1" t="s">
        <v>811</v>
      </c>
      <c r="B116" s="2" t="str">
        <f>MID(Data_depth_integrated2[[#This Row],[Code_(plot+location+sub_location+sampling_day+HT/LT)]],1,SEARCH("_",Data_depth_integrated2[[#This Row],[Code_(plot+location+sub_location+sampling_day+HT/LT)]])-1)</f>
        <v>6</v>
      </c>
      <c r="C11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6" s="1" t="str">
        <f>MID(Data_depth_integrated2[[#This Row],[Code_(plot+location+sub_location+sampling_day+HT/LT)]],FIND("_Day",Data_depth_integrated2[[#This Row],[Code_(plot+location+sub_location+sampling_day+HT/LT)]])-1,1)</f>
        <v>1</v>
      </c>
      <c r="E11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16" s="3" t="b">
        <v>1</v>
      </c>
      <c r="G116" s="3" t="b">
        <v>0</v>
      </c>
      <c r="H116" s="3" t="b">
        <v>1</v>
      </c>
      <c r="I116" s="1">
        <v>27</v>
      </c>
      <c r="J116" s="1">
        <v>31</v>
      </c>
      <c r="K116" s="1">
        <v>60</v>
      </c>
      <c r="L116" s="13">
        <f>((Data_depth_integrated2[[#This Row],[Depth_of_water_column_to_sediment_layer]]/100)/Data_depth_integrated2[[#This Row],[Total_sampling_time]])</f>
        <v>4.5000000000000005E-3</v>
      </c>
      <c r="M116" s="14">
        <v>5.71</v>
      </c>
      <c r="N116" s="1" t="s">
        <v>328</v>
      </c>
      <c r="O116" s="13">
        <v>4.7533333333333316E-2</v>
      </c>
    </row>
    <row r="117" spans="1:15" x14ac:dyDescent="0.3">
      <c r="A117" s="1" t="s">
        <v>812</v>
      </c>
      <c r="B117" s="2" t="str">
        <f>MID(Data_depth_integrated2[[#This Row],[Code_(plot+location+sub_location+sampling_day+HT/LT)]],1,SEARCH("_",Data_depth_integrated2[[#This Row],[Code_(plot+location+sub_location+sampling_day+HT/LT)]])-1)</f>
        <v>6</v>
      </c>
      <c r="C11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7" s="1" t="str">
        <f>MID(Data_depth_integrated2[[#This Row],[Code_(plot+location+sub_location+sampling_day+HT/LT)]],FIND("_Day",Data_depth_integrated2[[#This Row],[Code_(plot+location+sub_location+sampling_day+HT/LT)]])-1,1)</f>
        <v>1</v>
      </c>
      <c r="E11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17" s="3" t="b">
        <v>0</v>
      </c>
      <c r="G117" s="3" t="b">
        <v>0</v>
      </c>
      <c r="H117" s="3" t="b">
        <v>1</v>
      </c>
      <c r="I117" s="1">
        <v>23</v>
      </c>
      <c r="J117" s="1">
        <v>28</v>
      </c>
      <c r="K117" s="1">
        <v>52</v>
      </c>
      <c r="L117" s="13">
        <f>((Data_depth_integrated2[[#This Row],[Depth_of_water_column_to_sediment_layer]]/100)/Data_depth_integrated2[[#This Row],[Total_sampling_time]])</f>
        <v>4.4230769230769237E-3</v>
      </c>
      <c r="M117" s="14">
        <v>4.95</v>
      </c>
      <c r="N117" s="1" t="s">
        <v>288</v>
      </c>
      <c r="O117" s="13">
        <v>7.1999999999999981E-3</v>
      </c>
    </row>
    <row r="118" spans="1:15" x14ac:dyDescent="0.3">
      <c r="A118" s="1" t="s">
        <v>813</v>
      </c>
      <c r="B118" s="2" t="str">
        <f>MID(Data_depth_integrated2[[#This Row],[Code_(plot+location+sub_location+sampling_day+HT/LT)]],1,SEARCH("_",Data_depth_integrated2[[#This Row],[Code_(plot+location+sub_location+sampling_day+HT/LT)]])-1)</f>
        <v>6</v>
      </c>
      <c r="C11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8" s="1" t="str">
        <f>MID(Data_depth_integrated2[[#This Row],[Code_(plot+location+sub_location+sampling_day+HT/LT)]],FIND("_Day",Data_depth_integrated2[[#This Row],[Code_(plot+location+sub_location+sampling_day+HT/LT)]])-1,1)</f>
        <v>2</v>
      </c>
      <c r="E11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18" s="3" t="b">
        <v>1</v>
      </c>
      <c r="G118" s="3" t="b">
        <v>0</v>
      </c>
      <c r="H118" s="3" t="b">
        <v>1</v>
      </c>
      <c r="I118" s="1">
        <v>62</v>
      </c>
      <c r="J118" s="1">
        <v>62</v>
      </c>
      <c r="K118" s="1">
        <v>52</v>
      </c>
      <c r="L118" s="13">
        <f>((Data_depth_integrated2[[#This Row],[Depth_of_water_column_to_sediment_layer]]/100)/Data_depth_integrated2[[#This Row],[Total_sampling_time]])</f>
        <v>1.1923076923076923E-2</v>
      </c>
      <c r="M118" s="14">
        <v>5.55</v>
      </c>
      <c r="N118" s="1" t="s">
        <v>440</v>
      </c>
      <c r="O118" s="13">
        <v>3.9916666666666684E-2</v>
      </c>
    </row>
    <row r="119" spans="1:15" x14ac:dyDescent="0.3">
      <c r="A119" s="1" t="s">
        <v>814</v>
      </c>
      <c r="B119" s="2" t="str">
        <f>MID(Data_depth_integrated2[[#This Row],[Code_(plot+location+sub_location+sampling_day+HT/LT)]],1,SEARCH("_",Data_depth_integrated2[[#This Row],[Code_(plot+location+sub_location+sampling_day+HT/LT)]])-1)</f>
        <v>6</v>
      </c>
      <c r="C11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19" s="1" t="str">
        <f>MID(Data_depth_integrated2[[#This Row],[Code_(plot+location+sub_location+sampling_day+HT/LT)]],FIND("_Day",Data_depth_integrated2[[#This Row],[Code_(plot+location+sub_location+sampling_day+HT/LT)]])-1,1)</f>
        <v>2</v>
      </c>
      <c r="E11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19" s="3" t="b">
        <v>0</v>
      </c>
      <c r="G119" s="3" t="b">
        <v>0</v>
      </c>
      <c r="H119" s="3" t="b">
        <v>1</v>
      </c>
      <c r="I119" s="1">
        <v>56</v>
      </c>
      <c r="J119" s="1">
        <v>57</v>
      </c>
      <c r="K119" s="1">
        <v>46</v>
      </c>
      <c r="L119" s="13">
        <f>((Data_depth_integrated2[[#This Row],[Depth_of_water_column_to_sediment_layer]]/100)/Data_depth_integrated2[[#This Row],[Total_sampling_time]])</f>
        <v>1.2173913043478262E-2</v>
      </c>
      <c r="M119" s="14">
        <v>4.7300000000000004</v>
      </c>
      <c r="N119" s="1" t="s">
        <v>377</v>
      </c>
      <c r="O119" s="13">
        <v>4.9250000000000002E-2</v>
      </c>
    </row>
    <row r="120" spans="1:15" x14ac:dyDescent="0.3">
      <c r="A120" s="1" t="s">
        <v>815</v>
      </c>
      <c r="B120" s="2" t="str">
        <f>MID(Data_depth_integrated2[[#This Row],[Code_(plot+location+sub_location+sampling_day+HT/LT)]],1,SEARCH("_",Data_depth_integrated2[[#This Row],[Code_(plot+location+sub_location+sampling_day+HT/LT)]])-1)</f>
        <v>6</v>
      </c>
      <c r="C12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20" s="1" t="str">
        <f>MID(Data_depth_integrated2[[#This Row],[Code_(plot+location+sub_location+sampling_day+HT/LT)]],FIND("_Day",Data_depth_integrated2[[#This Row],[Code_(plot+location+sub_location+sampling_day+HT/LT)]])-1,1)</f>
        <v>2</v>
      </c>
      <c r="E12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20" s="3" t="b">
        <v>1</v>
      </c>
      <c r="G120" s="3" t="b">
        <v>0</v>
      </c>
      <c r="H120" s="3" t="b">
        <v>1</v>
      </c>
      <c r="I120" s="1">
        <v>62</v>
      </c>
      <c r="J120" s="1">
        <v>62</v>
      </c>
      <c r="K120" s="1">
        <v>52</v>
      </c>
      <c r="L120" s="13">
        <f>((Data_depth_integrated2[[#This Row],[Depth_of_water_column_to_sediment_layer]]/100)/Data_depth_integrated2[[#This Row],[Total_sampling_time]])</f>
        <v>1.1923076923076923E-2</v>
      </c>
      <c r="M120" s="14">
        <v>4.92</v>
      </c>
      <c r="N120" s="1" t="s">
        <v>62</v>
      </c>
      <c r="O120" s="13">
        <v>6.5250000000000002E-2</v>
      </c>
    </row>
    <row r="121" spans="1:15" x14ac:dyDescent="0.3">
      <c r="A121" s="1" t="s">
        <v>816</v>
      </c>
      <c r="B121" s="2" t="str">
        <f>MID(Data_depth_integrated2[[#This Row],[Code_(plot+location+sub_location+sampling_day+HT/LT)]],1,SEARCH("_",Data_depth_integrated2[[#This Row],[Code_(plot+location+sub_location+sampling_day+HT/LT)]])-1)</f>
        <v>6</v>
      </c>
      <c r="C12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21" s="1" t="str">
        <f>MID(Data_depth_integrated2[[#This Row],[Code_(plot+location+sub_location+sampling_day+HT/LT)]],FIND("_Day",Data_depth_integrated2[[#This Row],[Code_(plot+location+sub_location+sampling_day+HT/LT)]])-1,1)</f>
        <v>2</v>
      </c>
      <c r="E12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21" s="3" t="b">
        <v>0</v>
      </c>
      <c r="G121" s="3" t="b">
        <v>0</v>
      </c>
      <c r="H121" s="3" t="b">
        <v>1</v>
      </c>
      <c r="I121" s="1">
        <v>56</v>
      </c>
      <c r="J121" s="1">
        <v>57</v>
      </c>
      <c r="K121" s="1">
        <v>43</v>
      </c>
      <c r="L121" s="13">
        <f>((Data_depth_integrated2[[#This Row],[Depth_of_water_column_to_sediment_layer]]/100)/Data_depth_integrated2[[#This Row],[Total_sampling_time]])</f>
        <v>1.3023255813953489E-2</v>
      </c>
      <c r="M121" s="14">
        <v>5.24</v>
      </c>
      <c r="N121" s="1" t="s">
        <v>50</v>
      </c>
      <c r="O121" s="13">
        <v>0.77116666666666678</v>
      </c>
    </row>
    <row r="122" spans="1:15" x14ac:dyDescent="0.3">
      <c r="A122" s="1" t="s">
        <v>817</v>
      </c>
      <c r="B122" s="2" t="str">
        <f>MID(Data_depth_integrated2[[#This Row],[Code_(plot+location+sub_location+sampling_day+HT/LT)]],1,SEARCH("_",Data_depth_integrated2[[#This Row],[Code_(plot+location+sub_location+sampling_day+HT/LT)]])-1)</f>
        <v>6</v>
      </c>
      <c r="C12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22" s="1" t="str">
        <f>MID(Data_depth_integrated2[[#This Row],[Code_(plot+location+sub_location+sampling_day+HT/LT)]],FIND("_Day",Data_depth_integrated2[[#This Row],[Code_(plot+location+sub_location+sampling_day+HT/LT)]])-1,1)</f>
        <v>2</v>
      </c>
      <c r="E12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22" s="3" t="b">
        <v>1</v>
      </c>
      <c r="G122" s="3" t="b">
        <v>0</v>
      </c>
      <c r="H122" s="3" t="b">
        <v>1</v>
      </c>
      <c r="I122" s="1">
        <v>62</v>
      </c>
      <c r="J122" s="1">
        <v>62</v>
      </c>
      <c r="K122" s="1">
        <v>49</v>
      </c>
      <c r="L122" s="13">
        <f>((Data_depth_integrated2[[#This Row],[Depth_of_water_column_to_sediment_layer]]/100)/Data_depth_integrated2[[#This Row],[Total_sampling_time]])</f>
        <v>1.2653061224489795E-2</v>
      </c>
      <c r="M122" s="14">
        <v>4.9000000000000004</v>
      </c>
      <c r="N122" s="1" t="s">
        <v>113</v>
      </c>
      <c r="O122" s="13">
        <v>0.26500000000000001</v>
      </c>
    </row>
    <row r="123" spans="1:15" x14ac:dyDescent="0.3">
      <c r="A123" s="1" t="s">
        <v>818</v>
      </c>
      <c r="B123" s="2" t="str">
        <f>MID(Data_depth_integrated2[[#This Row],[Code_(plot+location+sub_location+sampling_day+HT/LT)]],1,SEARCH("_",Data_depth_integrated2[[#This Row],[Code_(plot+location+sub_location+sampling_day+HT/LT)]])-1)</f>
        <v>6</v>
      </c>
      <c r="C12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23" s="1" t="str">
        <f>MID(Data_depth_integrated2[[#This Row],[Code_(plot+location+sub_location+sampling_day+HT/LT)]],FIND("_Day",Data_depth_integrated2[[#This Row],[Code_(plot+location+sub_location+sampling_day+HT/LT)]])-1,1)</f>
        <v>2</v>
      </c>
      <c r="E12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23" s="3" t="b">
        <v>0</v>
      </c>
      <c r="G123" s="3" t="b">
        <v>0</v>
      </c>
      <c r="H123" s="3" t="b">
        <v>1</v>
      </c>
      <c r="I123" s="1">
        <v>56</v>
      </c>
      <c r="J123" s="1">
        <v>57</v>
      </c>
      <c r="K123" s="1">
        <v>50</v>
      </c>
      <c r="L123" s="13">
        <f>((Data_depth_integrated2[[#This Row],[Depth_of_water_column_to_sediment_layer]]/100)/Data_depth_integrated2[[#This Row],[Total_sampling_time]])</f>
        <v>1.1200000000000002E-2</v>
      </c>
      <c r="M123" s="14">
        <v>4.8899999999999997</v>
      </c>
      <c r="N123" s="1" t="s">
        <v>414</v>
      </c>
      <c r="O123" s="13">
        <v>4.9600000000000019E-2</v>
      </c>
    </row>
    <row r="124" spans="1:15" x14ac:dyDescent="0.3">
      <c r="A124" s="1" t="s">
        <v>819</v>
      </c>
      <c r="B124" s="2" t="str">
        <f>MID(Data_depth_integrated2[[#This Row],[Code_(plot+location+sub_location+sampling_day+HT/LT)]],1,SEARCH("_",Data_depth_integrated2[[#This Row],[Code_(plot+location+sub_location+sampling_day+HT/LT)]])-1)</f>
        <v>6</v>
      </c>
      <c r="C12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4" s="1" t="str">
        <f>MID(Data_depth_integrated2[[#This Row],[Code_(plot+location+sub_location+sampling_day+HT/LT)]],FIND("_Day",Data_depth_integrated2[[#This Row],[Code_(plot+location+sub_location+sampling_day+HT/LT)]])-1,1)</f>
        <v>1</v>
      </c>
      <c r="E12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24" s="3" t="b">
        <v>1</v>
      </c>
      <c r="G124" s="3" t="b">
        <v>0</v>
      </c>
      <c r="H124" s="3" t="b">
        <v>1</v>
      </c>
      <c r="I124" s="1">
        <v>29</v>
      </c>
      <c r="J124" s="1">
        <v>37</v>
      </c>
      <c r="K124" s="1">
        <v>39</v>
      </c>
      <c r="L124" s="13">
        <f>((Data_depth_integrated2[[#This Row],[Depth_of_water_column_to_sediment_layer]]/100)/Data_depth_integrated2[[#This Row],[Total_sampling_time]])</f>
        <v>7.4358974358974357E-3</v>
      </c>
      <c r="M124" s="14">
        <v>5.76</v>
      </c>
      <c r="N124" s="1" t="s">
        <v>423</v>
      </c>
      <c r="O124" s="13">
        <v>9.1399999999999981E-2</v>
      </c>
    </row>
    <row r="125" spans="1:15" x14ac:dyDescent="0.3">
      <c r="A125" s="1" t="s">
        <v>820</v>
      </c>
      <c r="B125" s="2" t="str">
        <f>MID(Data_depth_integrated2[[#This Row],[Code_(plot+location+sub_location+sampling_day+HT/LT)]],1,SEARCH("_",Data_depth_integrated2[[#This Row],[Code_(plot+location+sub_location+sampling_day+HT/LT)]])-1)</f>
        <v>6</v>
      </c>
      <c r="C12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5" s="1" t="str">
        <f>MID(Data_depth_integrated2[[#This Row],[Code_(plot+location+sub_location+sampling_day+HT/LT)]],FIND("_Day",Data_depth_integrated2[[#This Row],[Code_(plot+location+sub_location+sampling_day+HT/LT)]])-1,1)</f>
        <v>1</v>
      </c>
      <c r="E12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25" s="3" t="b">
        <v>0</v>
      </c>
      <c r="G125" s="3" t="b">
        <v>0</v>
      </c>
      <c r="H125" s="3" t="b">
        <v>1</v>
      </c>
      <c r="I125" s="1">
        <v>26</v>
      </c>
      <c r="J125" s="1">
        <v>30</v>
      </c>
      <c r="K125" s="1">
        <v>43</v>
      </c>
      <c r="L125" s="13">
        <f>((Data_depth_integrated2[[#This Row],[Depth_of_water_column_to_sediment_layer]]/100)/Data_depth_integrated2[[#This Row],[Total_sampling_time]])</f>
        <v>6.0465116279069774E-3</v>
      </c>
      <c r="M125" s="14">
        <v>5.67</v>
      </c>
      <c r="N125" s="1" t="s">
        <v>307</v>
      </c>
      <c r="O125" s="13">
        <v>4.7799999999999995E-2</v>
      </c>
    </row>
    <row r="126" spans="1:15" x14ac:dyDescent="0.3">
      <c r="A126" s="1" t="s">
        <v>821</v>
      </c>
      <c r="B126" s="2" t="str">
        <f>MID(Data_depth_integrated2[[#This Row],[Code_(plot+location+sub_location+sampling_day+HT/LT)]],1,SEARCH("_",Data_depth_integrated2[[#This Row],[Code_(plot+location+sub_location+sampling_day+HT/LT)]])-1)</f>
        <v>6</v>
      </c>
      <c r="C12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6" s="1" t="str">
        <f>MID(Data_depth_integrated2[[#This Row],[Code_(plot+location+sub_location+sampling_day+HT/LT)]],FIND("_Day",Data_depth_integrated2[[#This Row],[Code_(plot+location+sub_location+sampling_day+HT/LT)]])-1,1)</f>
        <v>1</v>
      </c>
      <c r="E12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26" s="3" t="b">
        <v>1</v>
      </c>
      <c r="G126" s="3" t="b">
        <v>0</v>
      </c>
      <c r="H126" s="3" t="b">
        <v>1</v>
      </c>
      <c r="I126" s="1">
        <v>29</v>
      </c>
      <c r="J126" s="1">
        <v>37</v>
      </c>
      <c r="K126" s="1">
        <v>45</v>
      </c>
      <c r="L126" s="13">
        <f>((Data_depth_integrated2[[#This Row],[Depth_of_water_column_to_sediment_layer]]/100)/Data_depth_integrated2[[#This Row],[Total_sampling_time]])</f>
        <v>6.4444444444444436E-3</v>
      </c>
      <c r="M126" s="14">
        <v>5.77</v>
      </c>
      <c r="N126" s="1" t="s">
        <v>415</v>
      </c>
      <c r="O126" s="13">
        <v>8.8783333333333325E-2</v>
      </c>
    </row>
    <row r="127" spans="1:15" x14ac:dyDescent="0.3">
      <c r="A127" s="1" t="s">
        <v>822</v>
      </c>
      <c r="B127" s="2" t="str">
        <f>MID(Data_depth_integrated2[[#This Row],[Code_(plot+location+sub_location+sampling_day+HT/LT)]],1,SEARCH("_",Data_depth_integrated2[[#This Row],[Code_(plot+location+sub_location+sampling_day+HT/LT)]])-1)</f>
        <v>6</v>
      </c>
      <c r="C12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7" s="1" t="str">
        <f>MID(Data_depth_integrated2[[#This Row],[Code_(plot+location+sub_location+sampling_day+HT/LT)]],FIND("_Day",Data_depth_integrated2[[#This Row],[Code_(plot+location+sub_location+sampling_day+HT/LT)]])-1,1)</f>
        <v>1</v>
      </c>
      <c r="E12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27" s="3" t="b">
        <v>0</v>
      </c>
      <c r="G127" s="3" t="b">
        <v>0</v>
      </c>
      <c r="H127" s="3" t="b">
        <v>1</v>
      </c>
      <c r="I127" s="1">
        <v>26</v>
      </c>
      <c r="J127" s="1">
        <v>30</v>
      </c>
      <c r="K127" s="1">
        <v>46</v>
      </c>
      <c r="L127" s="13">
        <f>((Data_depth_integrated2[[#This Row],[Depth_of_water_column_to_sediment_layer]]/100)/Data_depth_integrated2[[#This Row],[Total_sampling_time]])</f>
        <v>5.6521739130434784E-3</v>
      </c>
      <c r="M127" s="14">
        <v>5.2</v>
      </c>
      <c r="N127" s="1" t="s">
        <v>320</v>
      </c>
      <c r="O127" s="13">
        <v>7.7649999999999997E-2</v>
      </c>
    </row>
    <row r="128" spans="1:15" x14ac:dyDescent="0.3">
      <c r="A128" s="1" t="s">
        <v>823</v>
      </c>
      <c r="B128" s="2" t="str">
        <f>MID(Data_depth_integrated2[[#This Row],[Code_(plot+location+sub_location+sampling_day+HT/LT)]],1,SEARCH("_",Data_depth_integrated2[[#This Row],[Code_(plot+location+sub_location+sampling_day+HT/LT)]])-1)</f>
        <v>6</v>
      </c>
      <c r="C12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8" s="1" t="str">
        <f>MID(Data_depth_integrated2[[#This Row],[Code_(plot+location+sub_location+sampling_day+HT/LT)]],FIND("_Day",Data_depth_integrated2[[#This Row],[Code_(plot+location+sub_location+sampling_day+HT/LT)]])-1,1)</f>
        <v>1</v>
      </c>
      <c r="E12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28" s="3" t="b">
        <v>1</v>
      </c>
      <c r="G128" s="3" t="b">
        <v>0</v>
      </c>
      <c r="H128" s="3" t="b">
        <v>1</v>
      </c>
      <c r="I128" s="1">
        <v>29</v>
      </c>
      <c r="J128" s="1">
        <v>37</v>
      </c>
      <c r="K128" s="1">
        <v>47</v>
      </c>
      <c r="L128" s="13">
        <f>((Data_depth_integrated2[[#This Row],[Depth_of_water_column_to_sediment_layer]]/100)/Data_depth_integrated2[[#This Row],[Total_sampling_time]])</f>
        <v>6.1702127659574463E-3</v>
      </c>
      <c r="M128" s="14">
        <v>5.7</v>
      </c>
      <c r="N128" s="1" t="s">
        <v>372</v>
      </c>
      <c r="O128" s="13">
        <v>4.7533333333333316E-2</v>
      </c>
    </row>
    <row r="129" spans="1:15" x14ac:dyDescent="0.3">
      <c r="A129" s="1" t="s">
        <v>824</v>
      </c>
      <c r="B129" s="2" t="str">
        <f>MID(Data_depth_integrated2[[#This Row],[Code_(plot+location+sub_location+sampling_day+HT/LT)]],1,SEARCH("_",Data_depth_integrated2[[#This Row],[Code_(plot+location+sub_location+sampling_day+HT/LT)]])-1)</f>
        <v>6</v>
      </c>
      <c r="C12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29" s="1" t="str">
        <f>MID(Data_depth_integrated2[[#This Row],[Code_(plot+location+sub_location+sampling_day+HT/LT)]],FIND("_Day",Data_depth_integrated2[[#This Row],[Code_(plot+location+sub_location+sampling_day+HT/LT)]])-1,1)</f>
        <v>1</v>
      </c>
      <c r="E12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29" s="3" t="b">
        <v>0</v>
      </c>
      <c r="G129" s="3" t="b">
        <v>0</v>
      </c>
      <c r="H129" s="3" t="b">
        <v>1</v>
      </c>
      <c r="I129" s="1">
        <v>26</v>
      </c>
      <c r="J129" s="1">
        <v>30</v>
      </c>
      <c r="K129" s="1">
        <v>45</v>
      </c>
      <c r="L129" s="13">
        <f>((Data_depth_integrated2[[#This Row],[Depth_of_water_column_to_sediment_layer]]/100)/Data_depth_integrated2[[#This Row],[Total_sampling_time]])</f>
        <v>5.7777777777777784E-3</v>
      </c>
      <c r="M129" s="14">
        <v>4.74</v>
      </c>
      <c r="N129" s="1" t="s">
        <v>336</v>
      </c>
      <c r="O129" s="13">
        <v>4.9250000000000002E-2</v>
      </c>
    </row>
    <row r="130" spans="1:15" x14ac:dyDescent="0.3">
      <c r="A130" s="1" t="s">
        <v>155</v>
      </c>
      <c r="B130" s="2" t="str">
        <f>MID(Data_depth_integrated2[[#This Row],[Code_(plot+location+sub_location+sampling_day+HT/LT)]],1,SEARCH("_",Data_depth_integrated2[[#This Row],[Code_(plot+location+sub_location+sampling_day+HT/LT)]])-1)</f>
        <v>6</v>
      </c>
      <c r="C13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0" s="1" t="str">
        <f>MID(Data_depth_integrated2[[#This Row],[Code_(plot+location+sub_location+sampling_day+HT/LT)]],FIND("_Day",Data_depth_integrated2[[#This Row],[Code_(plot+location+sub_location+sampling_day+HT/LT)]])-1,1)</f>
        <v>2</v>
      </c>
      <c r="E13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30" s="3" t="b">
        <v>1</v>
      </c>
      <c r="G130" s="3" t="b">
        <v>0</v>
      </c>
      <c r="H130" s="3" t="b">
        <v>1</v>
      </c>
      <c r="I130" s="1">
        <v>45</v>
      </c>
      <c r="J130" s="1">
        <v>47</v>
      </c>
      <c r="K130" s="1">
        <v>47</v>
      </c>
      <c r="L130" s="13">
        <f>((Data_depth_integrated2[[#This Row],[Depth_of_water_column_to_sediment_layer]]/100)/Data_depth_integrated2[[#This Row],[Total_sampling_time]])</f>
        <v>9.5744680851063829E-3</v>
      </c>
      <c r="M130" s="14">
        <v>5.67</v>
      </c>
      <c r="N130" s="1" t="s">
        <v>365</v>
      </c>
      <c r="O130" s="13">
        <v>9.1399999999999981E-2</v>
      </c>
    </row>
    <row r="131" spans="1:15" x14ac:dyDescent="0.3">
      <c r="A131" s="1" t="s">
        <v>156</v>
      </c>
      <c r="B131" s="2" t="str">
        <f>MID(Data_depth_integrated2[[#This Row],[Code_(plot+location+sub_location+sampling_day+HT/LT)]],1,SEARCH("_",Data_depth_integrated2[[#This Row],[Code_(plot+location+sub_location+sampling_day+HT/LT)]])-1)</f>
        <v>6</v>
      </c>
      <c r="C13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1" s="1" t="str">
        <f>MID(Data_depth_integrated2[[#This Row],[Code_(plot+location+sub_location+sampling_day+HT/LT)]],FIND("_Day",Data_depth_integrated2[[#This Row],[Code_(plot+location+sub_location+sampling_day+HT/LT)]])-1,1)</f>
        <v>2</v>
      </c>
      <c r="E13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31" s="3" t="b">
        <v>0</v>
      </c>
      <c r="G131" s="3" t="b">
        <v>0</v>
      </c>
      <c r="H131" s="3" t="b">
        <v>1</v>
      </c>
      <c r="I131" s="1">
        <v>40</v>
      </c>
      <c r="J131" s="1">
        <v>44</v>
      </c>
      <c r="K131" s="1">
        <v>45</v>
      </c>
      <c r="L131" s="13">
        <f>((Data_depth_integrated2[[#This Row],[Depth_of_water_column_to_sediment_layer]]/100)/Data_depth_integrated2[[#This Row],[Total_sampling_time]])</f>
        <v>8.8888888888888889E-3</v>
      </c>
      <c r="M131" s="14">
        <v>5.09</v>
      </c>
      <c r="N131" s="1" t="s">
        <v>321</v>
      </c>
      <c r="O131" s="13">
        <v>0.12075</v>
      </c>
    </row>
    <row r="132" spans="1:15" x14ac:dyDescent="0.3">
      <c r="A132" s="1" t="s">
        <v>157</v>
      </c>
      <c r="B132" s="2" t="str">
        <f>MID(Data_depth_integrated2[[#This Row],[Code_(plot+location+sub_location+sampling_day+HT/LT)]],1,SEARCH("_",Data_depth_integrated2[[#This Row],[Code_(plot+location+sub_location+sampling_day+HT/LT)]])-1)</f>
        <v>6</v>
      </c>
      <c r="C13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2" s="1" t="str">
        <f>MID(Data_depth_integrated2[[#This Row],[Code_(plot+location+sub_location+sampling_day+HT/LT)]],FIND("_Day",Data_depth_integrated2[[#This Row],[Code_(plot+location+sub_location+sampling_day+HT/LT)]])-1,1)</f>
        <v>2</v>
      </c>
      <c r="E13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32" s="3" t="b">
        <v>1</v>
      </c>
      <c r="G132" s="3" t="b">
        <v>0</v>
      </c>
      <c r="H132" s="3" t="b">
        <v>1</v>
      </c>
      <c r="I132" s="1">
        <v>45</v>
      </c>
      <c r="J132" s="1">
        <v>47</v>
      </c>
      <c r="K132" s="1">
        <v>43</v>
      </c>
      <c r="L132" s="13">
        <f>((Data_depth_integrated2[[#This Row],[Depth_of_water_column_to_sediment_layer]]/100)/Data_depth_integrated2[[#This Row],[Total_sampling_time]])</f>
        <v>1.0465116279069767E-2</v>
      </c>
      <c r="M132" s="14">
        <v>5.17</v>
      </c>
      <c r="N132" s="1" t="s">
        <v>59</v>
      </c>
      <c r="O132" s="13">
        <v>0.10983333333333332</v>
      </c>
    </row>
    <row r="133" spans="1:15" x14ac:dyDescent="0.3">
      <c r="A133" s="1" t="s">
        <v>158</v>
      </c>
      <c r="B133" s="2" t="str">
        <f>MID(Data_depth_integrated2[[#This Row],[Code_(plot+location+sub_location+sampling_day+HT/LT)]],1,SEARCH("_",Data_depth_integrated2[[#This Row],[Code_(plot+location+sub_location+sampling_day+HT/LT)]])-1)</f>
        <v>6</v>
      </c>
      <c r="C13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3" s="1" t="str">
        <f>MID(Data_depth_integrated2[[#This Row],[Code_(plot+location+sub_location+sampling_day+HT/LT)]],FIND("_Day",Data_depth_integrated2[[#This Row],[Code_(plot+location+sub_location+sampling_day+HT/LT)]])-1,1)</f>
        <v>2</v>
      </c>
      <c r="E13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33" s="3" t="b">
        <v>0</v>
      </c>
      <c r="G133" s="3" t="b">
        <v>0</v>
      </c>
      <c r="H133" s="3" t="b">
        <v>1</v>
      </c>
      <c r="I133" s="1">
        <v>40</v>
      </c>
      <c r="J133" s="1">
        <v>44</v>
      </c>
      <c r="K133" s="1">
        <v>43</v>
      </c>
      <c r="L133" s="13">
        <f>((Data_depth_integrated2[[#This Row],[Depth_of_water_column_to_sediment_layer]]/100)/Data_depth_integrated2[[#This Row],[Total_sampling_time]])</f>
        <v>9.3023255813953487E-3</v>
      </c>
      <c r="M133" s="14">
        <v>5.76</v>
      </c>
      <c r="N133" s="1" t="s">
        <v>29</v>
      </c>
      <c r="O133" s="13">
        <v>3.5850000000000007E-2</v>
      </c>
    </row>
    <row r="134" spans="1:15" x14ac:dyDescent="0.3">
      <c r="A134" s="1" t="s">
        <v>159</v>
      </c>
      <c r="B134" s="2" t="str">
        <f>MID(Data_depth_integrated2[[#This Row],[Code_(plot+location+sub_location+sampling_day+HT/LT)]],1,SEARCH("_",Data_depth_integrated2[[#This Row],[Code_(plot+location+sub_location+sampling_day+HT/LT)]])-1)</f>
        <v>6</v>
      </c>
      <c r="C13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4" s="1" t="str">
        <f>MID(Data_depth_integrated2[[#This Row],[Code_(plot+location+sub_location+sampling_day+HT/LT)]],FIND("_Day",Data_depth_integrated2[[#This Row],[Code_(plot+location+sub_location+sampling_day+HT/LT)]])-1,1)</f>
        <v>2</v>
      </c>
      <c r="E13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34" s="3" t="b">
        <v>1</v>
      </c>
      <c r="G134" s="3" t="b">
        <v>0</v>
      </c>
      <c r="H134" s="3" t="b">
        <v>1</v>
      </c>
      <c r="I134" s="1">
        <v>45</v>
      </c>
      <c r="J134" s="1">
        <v>47</v>
      </c>
      <c r="K134" s="1">
        <v>42</v>
      </c>
      <c r="L134" s="13">
        <f>((Data_depth_integrated2[[#This Row],[Depth_of_water_column_to_sediment_layer]]/100)/Data_depth_integrated2[[#This Row],[Total_sampling_time]])</f>
        <v>1.0714285714285714E-2</v>
      </c>
      <c r="M134" s="14">
        <v>5.17</v>
      </c>
      <c r="N134" s="1" t="s">
        <v>86</v>
      </c>
      <c r="O134" s="13">
        <v>0.13593333333333335</v>
      </c>
    </row>
    <row r="135" spans="1:15" x14ac:dyDescent="0.3">
      <c r="A135" s="1" t="s">
        <v>160</v>
      </c>
      <c r="B135" s="2" t="str">
        <f>MID(Data_depth_integrated2[[#This Row],[Code_(plot+location+sub_location+sampling_day+HT/LT)]],1,SEARCH("_",Data_depth_integrated2[[#This Row],[Code_(plot+location+sub_location+sampling_day+HT/LT)]])-1)</f>
        <v>6</v>
      </c>
      <c r="C13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135" s="1" t="str">
        <f>MID(Data_depth_integrated2[[#This Row],[Code_(plot+location+sub_location+sampling_day+HT/LT)]],FIND("_Day",Data_depth_integrated2[[#This Row],[Code_(plot+location+sub_location+sampling_day+HT/LT)]])-1,1)</f>
        <v>2</v>
      </c>
      <c r="E13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35" s="3" t="b">
        <v>0</v>
      </c>
      <c r="G135" s="3" t="b">
        <v>0</v>
      </c>
      <c r="H135" s="3" t="b">
        <v>1</v>
      </c>
      <c r="I135" s="1">
        <v>40</v>
      </c>
      <c r="J135" s="1">
        <v>44</v>
      </c>
      <c r="K135" s="1">
        <v>44</v>
      </c>
      <c r="L135" s="13">
        <f>((Data_depth_integrated2[[#This Row],[Depth_of_water_column_to_sediment_layer]]/100)/Data_depth_integrated2[[#This Row],[Total_sampling_time]])</f>
        <v>9.0909090909090922E-3</v>
      </c>
      <c r="M135" s="14">
        <v>5.68</v>
      </c>
      <c r="N135" s="1" t="s">
        <v>407</v>
      </c>
      <c r="O135" s="13">
        <v>4.9250000000000002E-2</v>
      </c>
    </row>
    <row r="136" spans="1:15" x14ac:dyDescent="0.3">
      <c r="A136" s="1" t="s">
        <v>825</v>
      </c>
      <c r="B136" s="2" t="str">
        <f>MID(Data_depth_integrated2[[#This Row],[Code_(plot+location+sub_location+sampling_day+HT/LT)]],1,SEARCH("_",Data_depth_integrated2[[#This Row],[Code_(plot+location+sub_location+sampling_day+HT/LT)]])-1)</f>
        <v>6</v>
      </c>
      <c r="C13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36" s="1" t="str">
        <f>MID(Data_depth_integrated2[[#This Row],[Code_(plot+location+sub_location+sampling_day+HT/LT)]],FIND("_Day",Data_depth_integrated2[[#This Row],[Code_(plot+location+sub_location+sampling_day+HT/LT)]])-1,1)</f>
        <v>1</v>
      </c>
      <c r="E13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36" s="3" t="b">
        <v>1</v>
      </c>
      <c r="G136" s="3" t="b">
        <v>0</v>
      </c>
      <c r="H136" s="3" t="b">
        <v>1</v>
      </c>
      <c r="I136" s="1">
        <v>29</v>
      </c>
      <c r="J136" s="1">
        <v>32</v>
      </c>
      <c r="K136" s="1">
        <v>42</v>
      </c>
      <c r="L136" s="13">
        <f>((Data_depth_integrated2[[#This Row],[Depth_of_water_column_to_sediment_layer]]/100)/Data_depth_integrated2[[#This Row],[Total_sampling_time]])</f>
        <v>6.904761904761904E-3</v>
      </c>
      <c r="M136" s="14">
        <v>5.9</v>
      </c>
      <c r="N136" s="1" t="s">
        <v>312</v>
      </c>
      <c r="O136" s="13">
        <v>7.5283333333333313E-2</v>
      </c>
    </row>
    <row r="137" spans="1:15" x14ac:dyDescent="0.3">
      <c r="A137" s="1" t="s">
        <v>826</v>
      </c>
      <c r="B137" s="2" t="str">
        <f>MID(Data_depth_integrated2[[#This Row],[Code_(plot+location+sub_location+sampling_day+HT/LT)]],1,SEARCH("_",Data_depth_integrated2[[#This Row],[Code_(plot+location+sub_location+sampling_day+HT/LT)]])-1)</f>
        <v>6</v>
      </c>
      <c r="C13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37" s="1" t="str">
        <f>MID(Data_depth_integrated2[[#This Row],[Code_(plot+location+sub_location+sampling_day+HT/LT)]],FIND("_Day",Data_depth_integrated2[[#This Row],[Code_(plot+location+sub_location+sampling_day+HT/LT)]])-1,1)</f>
        <v>1</v>
      </c>
      <c r="E13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37" s="3" t="b">
        <v>0</v>
      </c>
      <c r="G137" s="3" t="b">
        <v>0</v>
      </c>
      <c r="H137" s="3" t="b">
        <v>1</v>
      </c>
      <c r="I137" s="1">
        <v>25</v>
      </c>
      <c r="J137" s="1">
        <v>29</v>
      </c>
      <c r="K137" s="1">
        <v>39</v>
      </c>
      <c r="L137" s="13">
        <f>((Data_depth_integrated2[[#This Row],[Depth_of_water_column_to_sediment_layer]]/100)/Data_depth_integrated2[[#This Row],[Total_sampling_time]])</f>
        <v>6.41025641025641E-3</v>
      </c>
      <c r="M137" s="14">
        <v>5.85</v>
      </c>
      <c r="N137" s="1" t="s">
        <v>322</v>
      </c>
      <c r="O137" s="13">
        <v>0.77116666666666678</v>
      </c>
    </row>
    <row r="138" spans="1:15" x14ac:dyDescent="0.3">
      <c r="A138" s="1" t="s">
        <v>827</v>
      </c>
      <c r="B138" s="2" t="str">
        <f>MID(Data_depth_integrated2[[#This Row],[Code_(plot+location+sub_location+sampling_day+HT/LT)]],1,SEARCH("_",Data_depth_integrated2[[#This Row],[Code_(plot+location+sub_location+sampling_day+HT/LT)]])-1)</f>
        <v>6</v>
      </c>
      <c r="C13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38" s="1" t="str">
        <f>MID(Data_depth_integrated2[[#This Row],[Code_(plot+location+sub_location+sampling_day+HT/LT)]],FIND("_Day",Data_depth_integrated2[[#This Row],[Code_(plot+location+sub_location+sampling_day+HT/LT)]])-1,1)</f>
        <v>1</v>
      </c>
      <c r="E13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38" s="3" t="b">
        <v>1</v>
      </c>
      <c r="G138" s="3" t="b">
        <v>0</v>
      </c>
      <c r="H138" s="3" t="b">
        <v>1</v>
      </c>
      <c r="I138" s="1">
        <v>29</v>
      </c>
      <c r="J138" s="1">
        <v>32</v>
      </c>
      <c r="K138" s="1">
        <v>44</v>
      </c>
      <c r="L138" s="13">
        <f>((Data_depth_integrated2[[#This Row],[Depth_of_water_column_to_sediment_layer]]/100)/Data_depth_integrated2[[#This Row],[Total_sampling_time]])</f>
        <v>6.5909090909090908E-3</v>
      </c>
      <c r="M138" s="14">
        <v>4.84</v>
      </c>
      <c r="N138" s="1" t="s">
        <v>309</v>
      </c>
      <c r="O138" s="13">
        <v>0.11679999999999999</v>
      </c>
    </row>
    <row r="139" spans="1:15" x14ac:dyDescent="0.3">
      <c r="A139" s="1" t="s">
        <v>828</v>
      </c>
      <c r="B139" s="2" t="str">
        <f>MID(Data_depth_integrated2[[#This Row],[Code_(plot+location+sub_location+sampling_day+HT/LT)]],1,SEARCH("_",Data_depth_integrated2[[#This Row],[Code_(plot+location+sub_location+sampling_day+HT/LT)]])-1)</f>
        <v>6</v>
      </c>
      <c r="C13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39" s="1" t="str">
        <f>MID(Data_depth_integrated2[[#This Row],[Code_(plot+location+sub_location+sampling_day+HT/LT)]],FIND("_Day",Data_depth_integrated2[[#This Row],[Code_(plot+location+sub_location+sampling_day+HT/LT)]])-1,1)</f>
        <v>1</v>
      </c>
      <c r="E13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39" s="3" t="b">
        <v>0</v>
      </c>
      <c r="G139" s="3" t="b">
        <v>0</v>
      </c>
      <c r="H139" s="3" t="b">
        <v>1</v>
      </c>
      <c r="I139" s="1">
        <v>25</v>
      </c>
      <c r="J139" s="1">
        <v>29</v>
      </c>
      <c r="K139" s="1">
        <v>41</v>
      </c>
      <c r="L139" s="13">
        <f>((Data_depth_integrated2[[#This Row],[Depth_of_water_column_to_sediment_layer]]/100)/Data_depth_integrated2[[#This Row],[Total_sampling_time]])</f>
        <v>6.0975609756097563E-3</v>
      </c>
      <c r="M139" s="14">
        <v>5.0999999999999996</v>
      </c>
      <c r="N139" s="1" t="s">
        <v>271</v>
      </c>
      <c r="O139" s="13">
        <v>4.9600000000000019E-2</v>
      </c>
    </row>
    <row r="140" spans="1:15" x14ac:dyDescent="0.3">
      <c r="A140" s="1" t="s">
        <v>829</v>
      </c>
      <c r="B140" s="2" t="str">
        <f>MID(Data_depth_integrated2[[#This Row],[Code_(plot+location+sub_location+sampling_day+HT/LT)]],1,SEARCH("_",Data_depth_integrated2[[#This Row],[Code_(plot+location+sub_location+sampling_day+HT/LT)]])-1)</f>
        <v>6</v>
      </c>
      <c r="C14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0" s="1" t="str">
        <f>MID(Data_depth_integrated2[[#This Row],[Code_(plot+location+sub_location+sampling_day+HT/LT)]],FIND("_Day",Data_depth_integrated2[[#This Row],[Code_(plot+location+sub_location+sampling_day+HT/LT)]])-1,1)</f>
        <v>1</v>
      </c>
      <c r="E14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40" s="3" t="b">
        <v>1</v>
      </c>
      <c r="G140" s="3" t="b">
        <v>0</v>
      </c>
      <c r="H140" s="3" t="b">
        <v>1</v>
      </c>
      <c r="I140" s="1">
        <v>29</v>
      </c>
      <c r="J140" s="1">
        <v>32</v>
      </c>
      <c r="K140" s="1">
        <v>57</v>
      </c>
      <c r="L140" s="13">
        <f>((Data_depth_integrated2[[#This Row],[Depth_of_water_column_to_sediment_layer]]/100)/Data_depth_integrated2[[#This Row],[Total_sampling_time]])</f>
        <v>5.0877192982456141E-3</v>
      </c>
      <c r="M140" s="14">
        <v>5.81</v>
      </c>
      <c r="N140" s="1" t="s">
        <v>284</v>
      </c>
      <c r="O140" s="13">
        <v>2.6283333333333325E-2</v>
      </c>
    </row>
    <row r="141" spans="1:15" x14ac:dyDescent="0.3">
      <c r="A141" s="1" t="s">
        <v>830</v>
      </c>
      <c r="B141" s="2" t="str">
        <f>MID(Data_depth_integrated2[[#This Row],[Code_(plot+location+sub_location+sampling_day+HT/LT)]],1,SEARCH("_",Data_depth_integrated2[[#This Row],[Code_(plot+location+sub_location+sampling_day+HT/LT)]])-1)</f>
        <v>6</v>
      </c>
      <c r="C14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1" s="1" t="str">
        <f>MID(Data_depth_integrated2[[#This Row],[Code_(plot+location+sub_location+sampling_day+HT/LT)]],FIND("_Day",Data_depth_integrated2[[#This Row],[Code_(plot+location+sub_location+sampling_day+HT/LT)]])-1,1)</f>
        <v>1</v>
      </c>
      <c r="E14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41" s="3" t="b">
        <v>0</v>
      </c>
      <c r="G141" s="3" t="b">
        <v>0</v>
      </c>
      <c r="H141" s="3" t="b">
        <v>1</v>
      </c>
      <c r="I141" s="1">
        <v>25</v>
      </c>
      <c r="J141" s="1">
        <v>29</v>
      </c>
      <c r="K141" s="1">
        <v>39</v>
      </c>
      <c r="L141" s="13">
        <f>((Data_depth_integrated2[[#This Row],[Depth_of_water_column_to_sediment_layer]]/100)/Data_depth_integrated2[[#This Row],[Total_sampling_time]])</f>
        <v>6.41025641025641E-3</v>
      </c>
      <c r="M141" s="14">
        <v>4.7699999999999996</v>
      </c>
      <c r="N141" s="1" t="s">
        <v>247</v>
      </c>
      <c r="O141" s="13">
        <v>6.1516666666666664E-2</v>
      </c>
    </row>
    <row r="142" spans="1:15" x14ac:dyDescent="0.3">
      <c r="A142" s="1" t="s">
        <v>161</v>
      </c>
      <c r="B142" s="2" t="str">
        <f>MID(Data_depth_integrated2[[#This Row],[Code_(plot+location+sub_location+sampling_day+HT/LT)]],1,SEARCH("_",Data_depth_integrated2[[#This Row],[Code_(plot+location+sub_location+sampling_day+HT/LT)]])-1)</f>
        <v>6</v>
      </c>
      <c r="C14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2" s="1" t="str">
        <f>MID(Data_depth_integrated2[[#This Row],[Code_(plot+location+sub_location+sampling_day+HT/LT)]],FIND("_Day",Data_depth_integrated2[[#This Row],[Code_(plot+location+sub_location+sampling_day+HT/LT)]])-1,1)</f>
        <v>2</v>
      </c>
      <c r="E14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42" s="3" t="b">
        <v>1</v>
      </c>
      <c r="G142" s="3" t="b">
        <v>0</v>
      </c>
      <c r="H142" s="3" t="b">
        <v>1</v>
      </c>
      <c r="I142" s="1">
        <v>53</v>
      </c>
      <c r="J142" s="1">
        <v>73</v>
      </c>
      <c r="K142" s="1">
        <v>57</v>
      </c>
      <c r="L142" s="13">
        <f>((Data_depth_integrated2[[#This Row],[Depth_of_water_column_to_sediment_layer]]/100)/Data_depth_integrated2[[#This Row],[Total_sampling_time]])</f>
        <v>9.2982456140350885E-3</v>
      </c>
      <c r="M142" s="14">
        <v>5.45</v>
      </c>
      <c r="N142" s="1" t="s">
        <v>350</v>
      </c>
      <c r="O142" s="13">
        <v>3.6099999999999993E-2</v>
      </c>
    </row>
    <row r="143" spans="1:15" x14ac:dyDescent="0.3">
      <c r="A143" s="1" t="s">
        <v>162</v>
      </c>
      <c r="B143" s="2" t="str">
        <f>MID(Data_depth_integrated2[[#This Row],[Code_(plot+location+sub_location+sampling_day+HT/LT)]],1,SEARCH("_",Data_depth_integrated2[[#This Row],[Code_(plot+location+sub_location+sampling_day+HT/LT)]])-1)</f>
        <v>6</v>
      </c>
      <c r="C14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3" s="1" t="str">
        <f>MID(Data_depth_integrated2[[#This Row],[Code_(plot+location+sub_location+sampling_day+HT/LT)]],FIND("_Day",Data_depth_integrated2[[#This Row],[Code_(plot+location+sub_location+sampling_day+HT/LT)]])-1,1)</f>
        <v>2</v>
      </c>
      <c r="E14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43" s="3" t="b">
        <v>0</v>
      </c>
      <c r="G143" s="3" t="b">
        <v>0</v>
      </c>
      <c r="H143" s="3" t="b">
        <v>1</v>
      </c>
      <c r="I143" s="1">
        <v>47</v>
      </c>
      <c r="J143" s="1">
        <v>68</v>
      </c>
      <c r="K143" s="1">
        <v>53</v>
      </c>
      <c r="L143" s="13">
        <f>((Data_depth_integrated2[[#This Row],[Depth_of_water_column_to_sediment_layer]]/100)/Data_depth_integrated2[[#This Row],[Total_sampling_time]])</f>
        <v>8.8679245283018859E-3</v>
      </c>
      <c r="M143" s="14">
        <v>5.31</v>
      </c>
      <c r="N143" s="1" t="s">
        <v>386</v>
      </c>
      <c r="O143" s="13">
        <v>9.1399999999999981E-2</v>
      </c>
    </row>
    <row r="144" spans="1:15" x14ac:dyDescent="0.3">
      <c r="A144" s="1" t="s">
        <v>163</v>
      </c>
      <c r="B144" s="2" t="str">
        <f>MID(Data_depth_integrated2[[#This Row],[Code_(plot+location+sub_location+sampling_day+HT/LT)]],1,SEARCH("_",Data_depth_integrated2[[#This Row],[Code_(plot+location+sub_location+sampling_day+HT/LT)]])-1)</f>
        <v>6</v>
      </c>
      <c r="C14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4" s="1" t="str">
        <f>MID(Data_depth_integrated2[[#This Row],[Code_(plot+location+sub_location+sampling_day+HT/LT)]],FIND("_Day",Data_depth_integrated2[[#This Row],[Code_(plot+location+sub_location+sampling_day+HT/LT)]])-1,1)</f>
        <v>2</v>
      </c>
      <c r="E14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44" s="3" t="b">
        <v>1</v>
      </c>
      <c r="G144" s="3" t="b">
        <v>0</v>
      </c>
      <c r="H144" s="3" t="b">
        <v>1</v>
      </c>
      <c r="I144" s="1">
        <v>53</v>
      </c>
      <c r="J144" s="1">
        <v>73</v>
      </c>
      <c r="K144" s="1">
        <v>60</v>
      </c>
      <c r="L144" s="13">
        <f>((Data_depth_integrated2[[#This Row],[Depth_of_water_column_to_sediment_layer]]/100)/Data_depth_integrated2[[#This Row],[Total_sampling_time]])</f>
        <v>8.8333333333333337E-3</v>
      </c>
      <c r="M144" s="14">
        <v>5.61</v>
      </c>
      <c r="N144" s="1" t="s">
        <v>102</v>
      </c>
      <c r="O144" s="13">
        <v>5.7849999999999999E-2</v>
      </c>
    </row>
    <row r="145" spans="1:15" x14ac:dyDescent="0.3">
      <c r="A145" s="1" t="s">
        <v>164</v>
      </c>
      <c r="B145" s="2" t="str">
        <f>MID(Data_depth_integrated2[[#This Row],[Code_(plot+location+sub_location+sampling_day+HT/LT)]],1,SEARCH("_",Data_depth_integrated2[[#This Row],[Code_(plot+location+sub_location+sampling_day+HT/LT)]])-1)</f>
        <v>6</v>
      </c>
      <c r="C14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5" s="1" t="str">
        <f>MID(Data_depth_integrated2[[#This Row],[Code_(plot+location+sub_location+sampling_day+HT/LT)]],FIND("_Day",Data_depth_integrated2[[#This Row],[Code_(plot+location+sub_location+sampling_day+HT/LT)]])-1,1)</f>
        <v>2</v>
      </c>
      <c r="E14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45" s="3" t="b">
        <v>0</v>
      </c>
      <c r="G145" s="3" t="b">
        <v>0</v>
      </c>
      <c r="H145" s="3" t="b">
        <v>1</v>
      </c>
      <c r="I145" s="1">
        <v>47</v>
      </c>
      <c r="J145" s="1">
        <v>68</v>
      </c>
      <c r="K145" s="1">
        <v>42</v>
      </c>
      <c r="L145" s="13">
        <f>((Data_depth_integrated2[[#This Row],[Depth_of_water_column_to_sediment_layer]]/100)/Data_depth_integrated2[[#This Row],[Total_sampling_time]])</f>
        <v>1.119047619047619E-2</v>
      </c>
      <c r="M145" s="14">
        <v>4.97</v>
      </c>
      <c r="N145" s="1" t="s">
        <v>39</v>
      </c>
      <c r="O145" s="13">
        <v>6.3516666666666666E-2</v>
      </c>
    </row>
    <row r="146" spans="1:15" x14ac:dyDescent="0.3">
      <c r="A146" s="1" t="s">
        <v>165</v>
      </c>
      <c r="B146" s="2" t="str">
        <f>MID(Data_depth_integrated2[[#This Row],[Code_(plot+location+sub_location+sampling_day+HT/LT)]],1,SEARCH("_",Data_depth_integrated2[[#This Row],[Code_(plot+location+sub_location+sampling_day+HT/LT)]])-1)</f>
        <v>6</v>
      </c>
      <c r="C14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6" s="1" t="str">
        <f>MID(Data_depth_integrated2[[#This Row],[Code_(plot+location+sub_location+sampling_day+HT/LT)]],FIND("_Day",Data_depth_integrated2[[#This Row],[Code_(plot+location+sub_location+sampling_day+HT/LT)]])-1,1)</f>
        <v>2</v>
      </c>
      <c r="E14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46" s="3" t="b">
        <v>1</v>
      </c>
      <c r="G146" s="3" t="b">
        <v>0</v>
      </c>
      <c r="H146" s="3" t="b">
        <v>1</v>
      </c>
      <c r="I146" s="1">
        <v>53</v>
      </c>
      <c r="J146" s="1">
        <v>73</v>
      </c>
      <c r="K146" s="1">
        <v>54</v>
      </c>
      <c r="L146" s="13">
        <f>((Data_depth_integrated2[[#This Row],[Depth_of_water_column_to_sediment_layer]]/100)/Data_depth_integrated2[[#This Row],[Total_sampling_time]])</f>
        <v>9.8148148148148161E-3</v>
      </c>
      <c r="M146" s="14">
        <v>5.17</v>
      </c>
      <c r="N146" s="1" t="s">
        <v>345</v>
      </c>
      <c r="O146" s="13">
        <v>5.9833333333333322E-2</v>
      </c>
    </row>
    <row r="147" spans="1:15" x14ac:dyDescent="0.3">
      <c r="A147" s="1" t="s">
        <v>166</v>
      </c>
      <c r="B147" s="2" t="str">
        <f>MID(Data_depth_integrated2[[#This Row],[Code_(plot+location+sub_location+sampling_day+HT/LT)]],1,SEARCH("_",Data_depth_integrated2[[#This Row],[Code_(plot+location+sub_location+sampling_day+HT/LT)]])-1)</f>
        <v>6</v>
      </c>
      <c r="C14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147" s="1" t="str">
        <f>MID(Data_depth_integrated2[[#This Row],[Code_(plot+location+sub_location+sampling_day+HT/LT)]],FIND("_Day",Data_depth_integrated2[[#This Row],[Code_(plot+location+sub_location+sampling_day+HT/LT)]])-1,1)</f>
        <v>2</v>
      </c>
      <c r="E14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47" s="3" t="b">
        <v>0</v>
      </c>
      <c r="G147" s="3" t="b">
        <v>0</v>
      </c>
      <c r="H147" s="3" t="b">
        <v>1</v>
      </c>
      <c r="I147" s="1">
        <v>47</v>
      </c>
      <c r="J147" s="1">
        <v>68</v>
      </c>
      <c r="K147" s="1">
        <v>39</v>
      </c>
      <c r="L147" s="13">
        <f>((Data_depth_integrated2[[#This Row],[Depth_of_water_column_to_sediment_layer]]/100)/Data_depth_integrated2[[#This Row],[Total_sampling_time]])</f>
        <v>1.205128205128205E-2</v>
      </c>
      <c r="M147" s="14">
        <v>5.05</v>
      </c>
      <c r="N147" s="1" t="s">
        <v>388</v>
      </c>
      <c r="O147" s="13">
        <v>5.2350000000000008E-2</v>
      </c>
    </row>
    <row r="148" spans="1:15" x14ac:dyDescent="0.3">
      <c r="A148" s="1" t="s">
        <v>831</v>
      </c>
      <c r="B148" s="2" t="str">
        <f>MID(Data_depth_integrated2[[#This Row],[Code_(plot+location+sub_location+sampling_day+HT/LT)]],1,SEARCH("_",Data_depth_integrated2[[#This Row],[Code_(plot+location+sub_location+sampling_day+HT/LT)]])-1)</f>
        <v>6</v>
      </c>
      <c r="C14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48" s="1" t="str">
        <f>MID(Data_depth_integrated2[[#This Row],[Code_(plot+location+sub_location+sampling_day+HT/LT)]],FIND("_Day",Data_depth_integrated2[[#This Row],[Code_(plot+location+sub_location+sampling_day+HT/LT)]])-1,1)</f>
        <v>1</v>
      </c>
      <c r="E14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48" s="3" t="b">
        <v>1</v>
      </c>
      <c r="G148" s="3" t="b">
        <v>0</v>
      </c>
      <c r="H148" s="3" t="b">
        <v>1</v>
      </c>
      <c r="I148" s="1">
        <v>59</v>
      </c>
      <c r="J148" s="1">
        <v>66</v>
      </c>
      <c r="K148" s="1">
        <v>53</v>
      </c>
      <c r="L148" s="13">
        <f>((Data_depth_integrated2[[#This Row],[Depth_of_water_column_to_sediment_layer]]/100)/Data_depth_integrated2[[#This Row],[Total_sampling_time]])</f>
        <v>1.1132075471698113E-2</v>
      </c>
      <c r="M148" s="14">
        <v>5.71</v>
      </c>
      <c r="N148" s="1" t="s">
        <v>281</v>
      </c>
      <c r="O148" s="13">
        <v>6.5600000000000006E-2</v>
      </c>
    </row>
    <row r="149" spans="1:15" x14ac:dyDescent="0.3">
      <c r="A149" s="1" t="s">
        <v>832</v>
      </c>
      <c r="B149" s="2" t="str">
        <f>MID(Data_depth_integrated2[[#This Row],[Code_(plot+location+sub_location+sampling_day+HT/LT)]],1,SEARCH("_",Data_depth_integrated2[[#This Row],[Code_(plot+location+sub_location+sampling_day+HT/LT)]])-1)</f>
        <v>6</v>
      </c>
      <c r="C14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49" s="1" t="str">
        <f>MID(Data_depth_integrated2[[#This Row],[Code_(plot+location+sub_location+sampling_day+HT/LT)]],FIND("_Day",Data_depth_integrated2[[#This Row],[Code_(plot+location+sub_location+sampling_day+HT/LT)]])-1,1)</f>
        <v>1</v>
      </c>
      <c r="E14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49" s="3" t="b">
        <v>0</v>
      </c>
      <c r="G149" s="3" t="b">
        <v>0</v>
      </c>
      <c r="H149" s="3" t="b">
        <v>1</v>
      </c>
      <c r="I149" s="1">
        <v>57</v>
      </c>
      <c r="J149" s="1">
        <v>64</v>
      </c>
      <c r="K149" s="1">
        <v>41</v>
      </c>
      <c r="L149" s="13">
        <f>((Data_depth_integrated2[[#This Row],[Depth_of_water_column_to_sediment_layer]]/100)/Data_depth_integrated2[[#This Row],[Total_sampling_time]])</f>
        <v>1.3902439024390242E-2</v>
      </c>
      <c r="M149" s="14">
        <v>5.59</v>
      </c>
      <c r="N149" s="1" t="s">
        <v>291</v>
      </c>
      <c r="O149" s="13">
        <v>5.1549999999999985E-2</v>
      </c>
    </row>
    <row r="150" spans="1:15" x14ac:dyDescent="0.3">
      <c r="A150" s="1" t="s">
        <v>833</v>
      </c>
      <c r="B150" s="2" t="str">
        <f>MID(Data_depth_integrated2[[#This Row],[Code_(plot+location+sub_location+sampling_day+HT/LT)]],1,SEARCH("_",Data_depth_integrated2[[#This Row],[Code_(plot+location+sub_location+sampling_day+HT/LT)]])-1)</f>
        <v>6</v>
      </c>
      <c r="C15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0" s="1" t="str">
        <f>MID(Data_depth_integrated2[[#This Row],[Code_(plot+location+sub_location+sampling_day+HT/LT)]],FIND("_Day",Data_depth_integrated2[[#This Row],[Code_(plot+location+sub_location+sampling_day+HT/LT)]])-1,1)</f>
        <v>1</v>
      </c>
      <c r="E15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50" s="3" t="b">
        <v>1</v>
      </c>
      <c r="G150" s="3" t="b">
        <v>0</v>
      </c>
      <c r="H150" s="3" t="b">
        <v>1</v>
      </c>
      <c r="I150" s="1">
        <v>59</v>
      </c>
      <c r="J150" s="1">
        <v>66</v>
      </c>
      <c r="K150" s="1">
        <v>39</v>
      </c>
      <c r="L150" s="13">
        <f>((Data_depth_integrated2[[#This Row],[Depth_of_water_column_to_sediment_layer]]/100)/Data_depth_integrated2[[#This Row],[Total_sampling_time]])</f>
        <v>1.5128205128205128E-2</v>
      </c>
      <c r="M150" s="14">
        <v>4.9400000000000004</v>
      </c>
      <c r="N150" s="1" t="s">
        <v>325</v>
      </c>
      <c r="O150" s="13">
        <v>4.3900000000000008E-2</v>
      </c>
    </row>
    <row r="151" spans="1:15" x14ac:dyDescent="0.3">
      <c r="A151" s="1" t="s">
        <v>834</v>
      </c>
      <c r="B151" s="2" t="str">
        <f>MID(Data_depth_integrated2[[#This Row],[Code_(plot+location+sub_location+sampling_day+HT/LT)]],1,SEARCH("_",Data_depth_integrated2[[#This Row],[Code_(plot+location+sub_location+sampling_day+HT/LT)]])-1)</f>
        <v>6</v>
      </c>
      <c r="C15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1" s="1" t="str">
        <f>MID(Data_depth_integrated2[[#This Row],[Code_(plot+location+sub_location+sampling_day+HT/LT)]],FIND("_Day",Data_depth_integrated2[[#This Row],[Code_(plot+location+sub_location+sampling_day+HT/LT)]])-1,1)</f>
        <v>1</v>
      </c>
      <c r="E15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51" s="3" t="b">
        <v>0</v>
      </c>
      <c r="G151" s="3" t="b">
        <v>0</v>
      </c>
      <c r="H151" s="3" t="b">
        <v>1</v>
      </c>
      <c r="I151" s="1">
        <v>57</v>
      </c>
      <c r="J151" s="1">
        <v>64</v>
      </c>
      <c r="K151" s="1">
        <v>46</v>
      </c>
      <c r="L151" s="13">
        <f>((Data_depth_integrated2[[#This Row],[Depth_of_water_column_to_sediment_layer]]/100)/Data_depth_integrated2[[#This Row],[Total_sampling_time]])</f>
        <v>1.2391304347826086E-2</v>
      </c>
      <c r="M151" s="14">
        <v>5.68</v>
      </c>
      <c r="N151" s="1" t="s">
        <v>381</v>
      </c>
      <c r="O151" s="13">
        <v>9.1399999999999981E-2</v>
      </c>
    </row>
    <row r="152" spans="1:15" x14ac:dyDescent="0.3">
      <c r="A152" s="1" t="s">
        <v>835</v>
      </c>
      <c r="B152" s="2" t="str">
        <f>MID(Data_depth_integrated2[[#This Row],[Code_(plot+location+sub_location+sampling_day+HT/LT)]],1,SEARCH("_",Data_depth_integrated2[[#This Row],[Code_(plot+location+sub_location+sampling_day+HT/LT)]])-1)</f>
        <v>6</v>
      </c>
      <c r="C15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2" s="1" t="str">
        <f>MID(Data_depth_integrated2[[#This Row],[Code_(plot+location+sub_location+sampling_day+HT/LT)]],FIND("_Day",Data_depth_integrated2[[#This Row],[Code_(plot+location+sub_location+sampling_day+HT/LT)]])-1,1)</f>
        <v>1</v>
      </c>
      <c r="E15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52" s="3" t="b">
        <v>1</v>
      </c>
      <c r="G152" s="3" t="b">
        <v>0</v>
      </c>
      <c r="H152" s="3" t="b">
        <v>1</v>
      </c>
      <c r="I152" s="1">
        <v>59</v>
      </c>
      <c r="J152" s="1">
        <v>66</v>
      </c>
      <c r="K152" s="1">
        <v>51</v>
      </c>
      <c r="L152" s="13">
        <f>((Data_depth_integrated2[[#This Row],[Depth_of_water_column_to_sediment_layer]]/100)/Data_depth_integrated2[[#This Row],[Total_sampling_time]])</f>
        <v>1.1568627450980392E-2</v>
      </c>
      <c r="M152" s="14">
        <v>4.71</v>
      </c>
      <c r="N152" s="1" t="s">
        <v>303</v>
      </c>
      <c r="O152" s="13">
        <v>7.8099999999999989E-2</v>
      </c>
    </row>
    <row r="153" spans="1:15" x14ac:dyDescent="0.3">
      <c r="A153" s="1" t="s">
        <v>836</v>
      </c>
      <c r="B153" s="2" t="str">
        <f>MID(Data_depth_integrated2[[#This Row],[Code_(plot+location+sub_location+sampling_day+HT/LT)]],1,SEARCH("_",Data_depth_integrated2[[#This Row],[Code_(plot+location+sub_location+sampling_day+HT/LT)]])-1)</f>
        <v>6</v>
      </c>
      <c r="C15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3" s="1" t="str">
        <f>MID(Data_depth_integrated2[[#This Row],[Code_(plot+location+sub_location+sampling_day+HT/LT)]],FIND("_Day",Data_depth_integrated2[[#This Row],[Code_(plot+location+sub_location+sampling_day+HT/LT)]])-1,1)</f>
        <v>1</v>
      </c>
      <c r="E15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53" s="3" t="b">
        <v>0</v>
      </c>
      <c r="G153" s="3" t="b">
        <v>0</v>
      </c>
      <c r="H153" s="3" t="b">
        <v>1</v>
      </c>
      <c r="I153" s="1">
        <v>57</v>
      </c>
      <c r="J153" s="1">
        <v>64</v>
      </c>
      <c r="K153" s="1">
        <v>50</v>
      </c>
      <c r="L153" s="13">
        <f>((Data_depth_integrated2[[#This Row],[Depth_of_water_column_to_sediment_layer]]/100)/Data_depth_integrated2[[#This Row],[Total_sampling_time]])</f>
        <v>1.1399999999999999E-2</v>
      </c>
      <c r="M153" s="14">
        <v>5.56</v>
      </c>
      <c r="N153" s="1" t="s">
        <v>364</v>
      </c>
      <c r="O153" s="13">
        <v>0.3777833333333333</v>
      </c>
    </row>
    <row r="154" spans="1:15" x14ac:dyDescent="0.3">
      <c r="A154" s="1" t="s">
        <v>167</v>
      </c>
      <c r="B154" s="2" t="str">
        <f>MID(Data_depth_integrated2[[#This Row],[Code_(plot+location+sub_location+sampling_day+HT/LT)]],1,SEARCH("_",Data_depth_integrated2[[#This Row],[Code_(plot+location+sub_location+sampling_day+HT/LT)]])-1)</f>
        <v>6</v>
      </c>
      <c r="C15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4" s="1" t="str">
        <f>MID(Data_depth_integrated2[[#This Row],[Code_(plot+location+sub_location+sampling_day+HT/LT)]],FIND("_Day",Data_depth_integrated2[[#This Row],[Code_(plot+location+sub_location+sampling_day+HT/LT)]])-1,1)</f>
        <v>2</v>
      </c>
      <c r="E15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54" s="3" t="b">
        <v>1</v>
      </c>
      <c r="G154" s="3" t="b">
        <v>0</v>
      </c>
      <c r="H154" s="3" t="b">
        <v>1</v>
      </c>
      <c r="I154" s="1">
        <v>61</v>
      </c>
      <c r="J154" s="1">
        <v>76</v>
      </c>
      <c r="K154" s="1">
        <v>46</v>
      </c>
      <c r="L154" s="13">
        <f>((Data_depth_integrated2[[#This Row],[Depth_of_water_column_to_sediment_layer]]/100)/Data_depth_integrated2[[#This Row],[Total_sampling_time]])</f>
        <v>1.3260869565217392E-2</v>
      </c>
      <c r="M154" s="14">
        <v>5.15</v>
      </c>
      <c r="N154" s="1" t="s">
        <v>353</v>
      </c>
      <c r="O154" s="13">
        <v>3.6099999999999993E-2</v>
      </c>
    </row>
    <row r="155" spans="1:15" x14ac:dyDescent="0.3">
      <c r="A155" s="1" t="s">
        <v>168</v>
      </c>
      <c r="B155" s="2" t="str">
        <f>MID(Data_depth_integrated2[[#This Row],[Code_(plot+location+sub_location+sampling_day+HT/LT)]],1,SEARCH("_",Data_depth_integrated2[[#This Row],[Code_(plot+location+sub_location+sampling_day+HT/LT)]])-1)</f>
        <v>6</v>
      </c>
      <c r="C15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5" s="1" t="str">
        <f>MID(Data_depth_integrated2[[#This Row],[Code_(plot+location+sub_location+sampling_day+HT/LT)]],FIND("_Day",Data_depth_integrated2[[#This Row],[Code_(plot+location+sub_location+sampling_day+HT/LT)]])-1,1)</f>
        <v>2</v>
      </c>
      <c r="E15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55" s="3" t="b">
        <v>0</v>
      </c>
      <c r="G155" s="3" t="b">
        <v>0</v>
      </c>
      <c r="H155" s="3" t="b">
        <v>1</v>
      </c>
      <c r="I155" s="1">
        <v>52</v>
      </c>
      <c r="J155" s="1">
        <v>72</v>
      </c>
      <c r="K155" s="1">
        <v>55</v>
      </c>
      <c r="L155" s="13">
        <f>((Data_depth_integrated2[[#This Row],[Depth_of_water_column_to_sediment_layer]]/100)/Data_depth_integrated2[[#This Row],[Total_sampling_time]])</f>
        <v>9.4545454545454551E-3</v>
      </c>
      <c r="M155" s="14">
        <v>6.02</v>
      </c>
      <c r="N155" s="1" t="s">
        <v>273</v>
      </c>
      <c r="O155" s="13">
        <v>9.1399999999999981E-2</v>
      </c>
    </row>
    <row r="156" spans="1:15" x14ac:dyDescent="0.3">
      <c r="A156" s="1" t="s">
        <v>169</v>
      </c>
      <c r="B156" s="2" t="str">
        <f>MID(Data_depth_integrated2[[#This Row],[Code_(plot+location+sub_location+sampling_day+HT/LT)]],1,SEARCH("_",Data_depth_integrated2[[#This Row],[Code_(plot+location+sub_location+sampling_day+HT/LT)]])-1)</f>
        <v>6</v>
      </c>
      <c r="C15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6" s="1" t="str">
        <f>MID(Data_depth_integrated2[[#This Row],[Code_(plot+location+sub_location+sampling_day+HT/LT)]],FIND("_Day",Data_depth_integrated2[[#This Row],[Code_(plot+location+sub_location+sampling_day+HT/LT)]])-1,1)</f>
        <v>2</v>
      </c>
      <c r="E15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56" s="3" t="b">
        <v>1</v>
      </c>
      <c r="G156" s="3" t="b">
        <v>0</v>
      </c>
      <c r="H156" s="3" t="b">
        <v>1</v>
      </c>
      <c r="I156" s="1">
        <v>61</v>
      </c>
      <c r="J156" s="1">
        <v>76</v>
      </c>
      <c r="K156" s="1">
        <v>47</v>
      </c>
      <c r="L156" s="13">
        <f>((Data_depth_integrated2[[#This Row],[Depth_of_water_column_to_sediment_layer]]/100)/Data_depth_integrated2[[#This Row],[Total_sampling_time]])</f>
        <v>1.2978723404255319E-2</v>
      </c>
      <c r="M156" s="14">
        <v>5.49</v>
      </c>
      <c r="N156" s="1" t="s">
        <v>46</v>
      </c>
      <c r="O156" s="13">
        <v>8.2383333333333322E-2</v>
      </c>
    </row>
    <row r="157" spans="1:15" x14ac:dyDescent="0.3">
      <c r="A157" s="1" t="s">
        <v>170</v>
      </c>
      <c r="B157" s="2" t="str">
        <f>MID(Data_depth_integrated2[[#This Row],[Code_(plot+location+sub_location+sampling_day+HT/LT)]],1,SEARCH("_",Data_depth_integrated2[[#This Row],[Code_(plot+location+sub_location+sampling_day+HT/LT)]])-1)</f>
        <v>6</v>
      </c>
      <c r="C15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7" s="1" t="str">
        <f>MID(Data_depth_integrated2[[#This Row],[Code_(plot+location+sub_location+sampling_day+HT/LT)]],FIND("_Day",Data_depth_integrated2[[#This Row],[Code_(plot+location+sub_location+sampling_day+HT/LT)]])-1,1)</f>
        <v>2</v>
      </c>
      <c r="E15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57" s="3" t="b">
        <v>0</v>
      </c>
      <c r="G157" s="3" t="b">
        <v>0</v>
      </c>
      <c r="H157" s="3" t="b">
        <v>1</v>
      </c>
      <c r="I157" s="1">
        <v>52</v>
      </c>
      <c r="J157" s="1">
        <v>72</v>
      </c>
      <c r="K157" s="1">
        <v>58</v>
      </c>
      <c r="L157" s="13">
        <f>((Data_depth_integrated2[[#This Row],[Depth_of_water_column_to_sediment_layer]]/100)/Data_depth_integrated2[[#This Row],[Total_sampling_time]])</f>
        <v>8.9655172413793099E-3</v>
      </c>
      <c r="M157" s="14">
        <v>5.37</v>
      </c>
      <c r="N157" s="1" t="s">
        <v>54</v>
      </c>
      <c r="O157" s="13">
        <v>7.8099999999999989E-2</v>
      </c>
    </row>
    <row r="158" spans="1:15" x14ac:dyDescent="0.3">
      <c r="A158" s="1" t="s">
        <v>171</v>
      </c>
      <c r="B158" s="2" t="str">
        <f>MID(Data_depth_integrated2[[#This Row],[Code_(plot+location+sub_location+sampling_day+HT/LT)]],1,SEARCH("_",Data_depth_integrated2[[#This Row],[Code_(plot+location+sub_location+sampling_day+HT/LT)]])-1)</f>
        <v>6</v>
      </c>
      <c r="C15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8" s="1" t="str">
        <f>MID(Data_depth_integrated2[[#This Row],[Code_(plot+location+sub_location+sampling_day+HT/LT)]],FIND("_Day",Data_depth_integrated2[[#This Row],[Code_(plot+location+sub_location+sampling_day+HT/LT)]])-1,1)</f>
        <v>2</v>
      </c>
      <c r="E15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58" s="3" t="b">
        <v>1</v>
      </c>
      <c r="G158" s="3" t="b">
        <v>0</v>
      </c>
      <c r="H158" s="3" t="b">
        <v>1</v>
      </c>
      <c r="I158" s="1">
        <v>61</v>
      </c>
      <c r="J158" s="1">
        <v>76</v>
      </c>
      <c r="K158" s="1">
        <v>60</v>
      </c>
      <c r="L158" s="13">
        <f>((Data_depth_integrated2[[#This Row],[Depth_of_water_column_to_sediment_layer]]/100)/Data_depth_integrated2[[#This Row],[Total_sampling_time]])</f>
        <v>1.0166666666666666E-2</v>
      </c>
      <c r="M158" s="14">
        <v>5.36</v>
      </c>
      <c r="N158" s="1" t="s">
        <v>295</v>
      </c>
      <c r="O158" s="13">
        <v>7.1999999999999981E-3</v>
      </c>
    </row>
    <row r="159" spans="1:15" x14ac:dyDescent="0.3">
      <c r="A159" s="1" t="s">
        <v>172</v>
      </c>
      <c r="B159" s="2" t="str">
        <f>MID(Data_depth_integrated2[[#This Row],[Code_(plot+location+sub_location+sampling_day+HT/LT)]],1,SEARCH("_",Data_depth_integrated2[[#This Row],[Code_(plot+location+sub_location+sampling_day+HT/LT)]])-1)</f>
        <v>6</v>
      </c>
      <c r="C15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159" s="1" t="str">
        <f>MID(Data_depth_integrated2[[#This Row],[Code_(plot+location+sub_location+sampling_day+HT/LT)]],FIND("_Day",Data_depth_integrated2[[#This Row],[Code_(plot+location+sub_location+sampling_day+HT/LT)]])-1,1)</f>
        <v>2</v>
      </c>
      <c r="E15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59" s="3" t="b">
        <v>0</v>
      </c>
      <c r="G159" s="3" t="b">
        <v>0</v>
      </c>
      <c r="H159" s="3" t="b">
        <v>1</v>
      </c>
      <c r="I159" s="1">
        <v>52</v>
      </c>
      <c r="J159" s="1">
        <v>72</v>
      </c>
      <c r="K159" s="1">
        <v>48</v>
      </c>
      <c r="L159" s="13">
        <f>((Data_depth_integrated2[[#This Row],[Depth_of_water_column_to_sediment_layer]]/100)/Data_depth_integrated2[[#This Row],[Total_sampling_time]])</f>
        <v>1.0833333333333334E-2</v>
      </c>
      <c r="M159" s="14">
        <v>5.5</v>
      </c>
      <c r="N159" s="1" t="s">
        <v>376</v>
      </c>
      <c r="O159" s="13">
        <v>5.2350000000000008E-2</v>
      </c>
    </row>
    <row r="160" spans="1:15" x14ac:dyDescent="0.3">
      <c r="A160" s="1" t="s">
        <v>253</v>
      </c>
      <c r="B160" s="2" t="str">
        <f>MID(Data_depth_integrated2[[#This Row],[Code_(plot+location+sub_location+sampling_day+HT/LT)]],1,SEARCH("_",Data_depth_integrated2[[#This Row],[Code_(plot+location+sub_location+sampling_day+HT/LT)]])-1)</f>
        <v>6</v>
      </c>
      <c r="C16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0" s="1" t="str">
        <f>MID(Data_depth_integrated2[[#This Row],[Code_(plot+location+sub_location+sampling_day+HT/LT)]],FIND("_Day",Data_depth_integrated2[[#This Row],[Code_(plot+location+sub_location+sampling_day+HT/LT)]])-1,1)</f>
        <v>2</v>
      </c>
      <c r="E16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60" s="3" t="b">
        <v>1</v>
      </c>
      <c r="G160" s="3" t="b">
        <v>0</v>
      </c>
      <c r="H160" s="3" t="b">
        <v>1</v>
      </c>
      <c r="I160" s="1">
        <v>93</v>
      </c>
      <c r="J160" s="1">
        <v>113</v>
      </c>
      <c r="K160" s="1">
        <v>58</v>
      </c>
      <c r="L160" s="13">
        <f>((Data_depth_integrated2[[#This Row],[Depth_of_water_column_to_sediment_layer]]/100)/Data_depth_integrated2[[#This Row],[Total_sampling_time]])</f>
        <v>1.603448275862069E-2</v>
      </c>
      <c r="M160" s="14">
        <v>5.19</v>
      </c>
      <c r="N160" s="1" t="s">
        <v>314</v>
      </c>
      <c r="O160" s="13">
        <v>5.2350000000000008E-2</v>
      </c>
    </row>
    <row r="161" spans="1:15" x14ac:dyDescent="0.3">
      <c r="A161" s="1" t="s">
        <v>254</v>
      </c>
      <c r="B161" s="2" t="str">
        <f>MID(Data_depth_integrated2[[#This Row],[Code_(plot+location+sub_location+sampling_day+HT/LT)]],1,SEARCH("_",Data_depth_integrated2[[#This Row],[Code_(plot+location+sub_location+sampling_day+HT/LT)]])-1)</f>
        <v>6</v>
      </c>
      <c r="C16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1" s="1" t="str">
        <f>MID(Data_depth_integrated2[[#This Row],[Code_(plot+location+sub_location+sampling_day+HT/LT)]],FIND("_Day",Data_depth_integrated2[[#This Row],[Code_(plot+location+sub_location+sampling_day+HT/LT)]])-1,1)</f>
        <v>2</v>
      </c>
      <c r="E16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61" s="3" t="b">
        <v>0</v>
      </c>
      <c r="G161" s="3" t="b">
        <v>0</v>
      </c>
      <c r="H161" s="3" t="b">
        <v>1</v>
      </c>
      <c r="I161" s="1">
        <v>87</v>
      </c>
      <c r="J161" s="1">
        <v>104</v>
      </c>
      <c r="K161" s="1">
        <v>54</v>
      </c>
      <c r="L161" s="13">
        <f>((Data_depth_integrated2[[#This Row],[Depth_of_water_column_to_sediment_layer]]/100)/Data_depth_integrated2[[#This Row],[Total_sampling_time]])</f>
        <v>1.6111111111111111E-2</v>
      </c>
      <c r="M161" s="14">
        <v>5.3</v>
      </c>
      <c r="N161" s="1" t="s">
        <v>403</v>
      </c>
      <c r="O161" s="13">
        <v>4.9250000000000002E-2</v>
      </c>
    </row>
    <row r="162" spans="1:15" x14ac:dyDescent="0.3">
      <c r="A162" s="1" t="s">
        <v>255</v>
      </c>
      <c r="B162" s="2" t="str">
        <f>MID(Data_depth_integrated2[[#This Row],[Code_(plot+location+sub_location+sampling_day+HT/LT)]],1,SEARCH("_",Data_depth_integrated2[[#This Row],[Code_(plot+location+sub_location+sampling_day+HT/LT)]])-1)</f>
        <v>6</v>
      </c>
      <c r="C16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2" s="1" t="str">
        <f>MID(Data_depth_integrated2[[#This Row],[Code_(plot+location+sub_location+sampling_day+HT/LT)]],FIND("_Day",Data_depth_integrated2[[#This Row],[Code_(plot+location+sub_location+sampling_day+HT/LT)]])-1,1)</f>
        <v>2</v>
      </c>
      <c r="E16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62" s="3" t="b">
        <v>1</v>
      </c>
      <c r="G162" s="3" t="b">
        <v>0</v>
      </c>
      <c r="H162" s="3" t="b">
        <v>1</v>
      </c>
      <c r="I162" s="1">
        <v>93</v>
      </c>
      <c r="J162" s="1">
        <v>113</v>
      </c>
      <c r="K162" s="1">
        <v>55</v>
      </c>
      <c r="L162" s="13">
        <f>((Data_depth_integrated2[[#This Row],[Depth_of_water_column_to_sediment_layer]]/100)/Data_depth_integrated2[[#This Row],[Total_sampling_time]])</f>
        <v>1.6909090909090908E-2</v>
      </c>
      <c r="M162" s="14">
        <v>4.92</v>
      </c>
      <c r="N162" s="1" t="s">
        <v>416</v>
      </c>
      <c r="O162" s="13">
        <v>4.9600000000000019E-2</v>
      </c>
    </row>
    <row r="163" spans="1:15" x14ac:dyDescent="0.3">
      <c r="A163" s="1" t="s">
        <v>256</v>
      </c>
      <c r="B163" s="2" t="str">
        <f>MID(Data_depth_integrated2[[#This Row],[Code_(plot+location+sub_location+sampling_day+HT/LT)]],1,SEARCH("_",Data_depth_integrated2[[#This Row],[Code_(plot+location+sub_location+sampling_day+HT/LT)]])-1)</f>
        <v>6</v>
      </c>
      <c r="C16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3" s="1" t="str">
        <f>MID(Data_depth_integrated2[[#This Row],[Code_(plot+location+sub_location+sampling_day+HT/LT)]],FIND("_Day",Data_depth_integrated2[[#This Row],[Code_(plot+location+sub_location+sampling_day+HT/LT)]])-1,1)</f>
        <v>2</v>
      </c>
      <c r="E16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63" s="3" t="b">
        <v>0</v>
      </c>
      <c r="G163" s="3" t="b">
        <v>0</v>
      </c>
      <c r="H163" s="3" t="b">
        <v>1</v>
      </c>
      <c r="I163" s="1">
        <v>87</v>
      </c>
      <c r="J163" s="1">
        <v>104</v>
      </c>
      <c r="K163" s="1">
        <v>41</v>
      </c>
      <c r="L163" s="13">
        <f>((Data_depth_integrated2[[#This Row],[Depth_of_water_column_to_sediment_layer]]/100)/Data_depth_integrated2[[#This Row],[Total_sampling_time]])</f>
        <v>2.1219512195121953E-2</v>
      </c>
      <c r="M163" s="14">
        <v>5.61</v>
      </c>
      <c r="N163" s="1" t="s">
        <v>427</v>
      </c>
      <c r="O163" s="13">
        <v>3.6099999999999993E-2</v>
      </c>
    </row>
    <row r="164" spans="1:15" x14ac:dyDescent="0.3">
      <c r="A164" s="1" t="s">
        <v>257</v>
      </c>
      <c r="B164" s="2" t="str">
        <f>MID(Data_depth_integrated2[[#This Row],[Code_(plot+location+sub_location+sampling_day+HT/LT)]],1,SEARCH("_",Data_depth_integrated2[[#This Row],[Code_(plot+location+sub_location+sampling_day+HT/LT)]])-1)</f>
        <v>6</v>
      </c>
      <c r="C16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4" s="1" t="str">
        <f>MID(Data_depth_integrated2[[#This Row],[Code_(plot+location+sub_location+sampling_day+HT/LT)]],FIND("_Day",Data_depth_integrated2[[#This Row],[Code_(plot+location+sub_location+sampling_day+HT/LT)]])-1,1)</f>
        <v>2</v>
      </c>
      <c r="E16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64" s="3" t="b">
        <v>1</v>
      </c>
      <c r="G164" s="3" t="b">
        <v>0</v>
      </c>
      <c r="H164" s="3" t="b">
        <v>1</v>
      </c>
      <c r="I164" s="1">
        <v>93</v>
      </c>
      <c r="J164" s="1">
        <v>113</v>
      </c>
      <c r="K164" s="1">
        <v>60</v>
      </c>
      <c r="L164" s="13">
        <f>((Data_depth_integrated2[[#This Row],[Depth_of_water_column_to_sediment_layer]]/100)/Data_depth_integrated2[[#This Row],[Total_sampling_time]])</f>
        <v>1.5500000000000002E-2</v>
      </c>
      <c r="M164" s="14">
        <v>5.41</v>
      </c>
      <c r="N164" s="1" t="s">
        <v>401</v>
      </c>
      <c r="O164" s="13">
        <v>0.3777833333333333</v>
      </c>
    </row>
    <row r="165" spans="1:15" x14ac:dyDescent="0.3">
      <c r="A165" s="1" t="s">
        <v>258</v>
      </c>
      <c r="B165" s="2" t="str">
        <f>MID(Data_depth_integrated2[[#This Row],[Code_(plot+location+sub_location+sampling_day+HT/LT)]],1,SEARCH("_",Data_depth_integrated2[[#This Row],[Code_(plot+location+sub_location+sampling_day+HT/LT)]])-1)</f>
        <v>6</v>
      </c>
      <c r="C16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165" s="1" t="str">
        <f>MID(Data_depth_integrated2[[#This Row],[Code_(plot+location+sub_location+sampling_day+HT/LT)]],FIND("_Day",Data_depth_integrated2[[#This Row],[Code_(plot+location+sub_location+sampling_day+HT/LT)]])-1,1)</f>
        <v>2</v>
      </c>
      <c r="E16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65" s="3" t="b">
        <v>0</v>
      </c>
      <c r="G165" s="3" t="b">
        <v>0</v>
      </c>
      <c r="H165" s="3" t="b">
        <v>1</v>
      </c>
      <c r="I165" s="1">
        <v>87</v>
      </c>
      <c r="J165" s="1">
        <v>104</v>
      </c>
      <c r="K165" s="1">
        <v>48</v>
      </c>
      <c r="L165" s="13">
        <f>((Data_depth_integrated2[[#This Row],[Depth_of_water_column_to_sediment_layer]]/100)/Data_depth_integrated2[[#This Row],[Total_sampling_time]])</f>
        <v>1.8124999999999999E-2</v>
      </c>
      <c r="M165" s="14">
        <v>5.52</v>
      </c>
      <c r="N165" s="1" t="s">
        <v>408</v>
      </c>
      <c r="O165" s="13">
        <v>8.8783333333333325E-2</v>
      </c>
    </row>
    <row r="166" spans="1:15" x14ac:dyDescent="0.3">
      <c r="A166" s="1" t="s">
        <v>837</v>
      </c>
      <c r="B166" s="2" t="str">
        <f>MID(Data_depth_integrated2[[#This Row],[Code_(plot+location+sub_location+sampling_day+HT/LT)]],1,SEARCH("_",Data_depth_integrated2[[#This Row],[Code_(plot+location+sub_location+sampling_day+HT/LT)]])-1)</f>
        <v>6</v>
      </c>
      <c r="C16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66" s="1" t="str">
        <f>MID(Data_depth_integrated2[[#This Row],[Code_(plot+location+sub_location+sampling_day+HT/LT)]],FIND("_Day",Data_depth_integrated2[[#This Row],[Code_(plot+location+sub_location+sampling_day+HT/LT)]])-1,1)</f>
        <v>1</v>
      </c>
      <c r="E16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66" s="3" t="b">
        <v>1</v>
      </c>
      <c r="G166" s="3" t="b">
        <v>0</v>
      </c>
      <c r="H166" s="3" t="b">
        <v>1</v>
      </c>
      <c r="I166" s="1">
        <v>44</v>
      </c>
      <c r="J166" s="1">
        <v>44</v>
      </c>
      <c r="K166" s="1">
        <v>57</v>
      </c>
      <c r="L166" s="13">
        <f>((Data_depth_integrated2[[#This Row],[Depth_of_water_column_to_sediment_layer]]/100)/Data_depth_integrated2[[#This Row],[Total_sampling_time]])</f>
        <v>7.7192982456140355E-3</v>
      </c>
      <c r="M166" s="14">
        <v>5.36</v>
      </c>
      <c r="N166" s="1" t="s">
        <v>425</v>
      </c>
      <c r="O166" s="13">
        <v>5.2350000000000008E-2</v>
      </c>
    </row>
    <row r="167" spans="1:15" x14ac:dyDescent="0.3">
      <c r="A167" s="1" t="s">
        <v>838</v>
      </c>
      <c r="B167" s="2" t="str">
        <f>MID(Data_depth_integrated2[[#This Row],[Code_(plot+location+sub_location+sampling_day+HT/LT)]],1,SEARCH("_",Data_depth_integrated2[[#This Row],[Code_(plot+location+sub_location+sampling_day+HT/LT)]])-1)</f>
        <v>6</v>
      </c>
      <c r="C16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67" s="1" t="str">
        <f>MID(Data_depth_integrated2[[#This Row],[Code_(plot+location+sub_location+sampling_day+HT/LT)]],FIND("_Day",Data_depth_integrated2[[#This Row],[Code_(plot+location+sub_location+sampling_day+HT/LT)]])-1,1)</f>
        <v>1</v>
      </c>
      <c r="E16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67" s="3" t="b">
        <v>0</v>
      </c>
      <c r="G167" s="3" t="b">
        <v>0</v>
      </c>
      <c r="H167" s="3" t="b">
        <v>1</v>
      </c>
      <c r="I167" s="1">
        <v>37</v>
      </c>
      <c r="J167" s="1">
        <v>37</v>
      </c>
      <c r="K167" s="1">
        <v>52</v>
      </c>
      <c r="L167" s="13">
        <f>((Data_depth_integrated2[[#This Row],[Depth_of_water_column_to_sediment_layer]]/100)/Data_depth_integrated2[[#This Row],[Total_sampling_time]])</f>
        <v>7.1153846153846154E-3</v>
      </c>
      <c r="M167" s="14">
        <v>5.8</v>
      </c>
      <c r="N167" s="1" t="s">
        <v>298</v>
      </c>
      <c r="O167" s="13">
        <v>0.12075</v>
      </c>
    </row>
    <row r="168" spans="1:15" x14ac:dyDescent="0.3">
      <c r="A168" s="1" t="s">
        <v>839</v>
      </c>
      <c r="B168" s="2" t="str">
        <f>MID(Data_depth_integrated2[[#This Row],[Code_(plot+location+sub_location+sampling_day+HT/LT)]],1,SEARCH("_",Data_depth_integrated2[[#This Row],[Code_(plot+location+sub_location+sampling_day+HT/LT)]])-1)</f>
        <v>6</v>
      </c>
      <c r="C16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68" s="1" t="str">
        <f>MID(Data_depth_integrated2[[#This Row],[Code_(plot+location+sub_location+sampling_day+HT/LT)]],FIND("_Day",Data_depth_integrated2[[#This Row],[Code_(plot+location+sub_location+sampling_day+HT/LT)]])-1,1)</f>
        <v>1</v>
      </c>
      <c r="E16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68" s="3" t="b">
        <v>1</v>
      </c>
      <c r="G168" s="3" t="b">
        <v>0</v>
      </c>
      <c r="H168" s="3" t="b">
        <v>1</v>
      </c>
      <c r="I168" s="1">
        <v>44</v>
      </c>
      <c r="J168" s="1">
        <v>44</v>
      </c>
      <c r="K168" s="1">
        <v>52</v>
      </c>
      <c r="L168" s="13">
        <f>((Data_depth_integrated2[[#This Row],[Depth_of_water_column_to_sediment_layer]]/100)/Data_depth_integrated2[[#This Row],[Total_sampling_time]])</f>
        <v>8.4615384615384613E-3</v>
      </c>
      <c r="M168" s="14">
        <v>4.72</v>
      </c>
      <c r="N168" s="1" t="s">
        <v>300</v>
      </c>
      <c r="O168" s="13">
        <v>4.3900000000000008E-2</v>
      </c>
    </row>
    <row r="169" spans="1:15" x14ac:dyDescent="0.3">
      <c r="A169" s="1" t="s">
        <v>840</v>
      </c>
      <c r="B169" s="2" t="str">
        <f>MID(Data_depth_integrated2[[#This Row],[Code_(plot+location+sub_location+sampling_day+HT/LT)]],1,SEARCH("_",Data_depth_integrated2[[#This Row],[Code_(plot+location+sub_location+sampling_day+HT/LT)]])-1)</f>
        <v>6</v>
      </c>
      <c r="C16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69" s="1" t="str">
        <f>MID(Data_depth_integrated2[[#This Row],[Code_(plot+location+sub_location+sampling_day+HT/LT)]],FIND("_Day",Data_depth_integrated2[[#This Row],[Code_(plot+location+sub_location+sampling_day+HT/LT)]])-1,1)</f>
        <v>1</v>
      </c>
      <c r="E16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69" s="3" t="b">
        <v>0</v>
      </c>
      <c r="G169" s="3" t="b">
        <v>0</v>
      </c>
      <c r="H169" s="3" t="b">
        <v>1</v>
      </c>
      <c r="I169" s="1">
        <v>37</v>
      </c>
      <c r="J169" s="1">
        <v>37</v>
      </c>
      <c r="K169" s="1">
        <v>54</v>
      </c>
      <c r="L169" s="13">
        <f>((Data_depth_integrated2[[#This Row],[Depth_of_water_column_to_sediment_layer]]/100)/Data_depth_integrated2[[#This Row],[Total_sampling_time]])</f>
        <v>6.851851851851852E-3</v>
      </c>
      <c r="M169" s="14">
        <v>6.02</v>
      </c>
      <c r="N169" s="1" t="s">
        <v>315</v>
      </c>
      <c r="O169" s="13">
        <v>4.9250000000000002E-2</v>
      </c>
    </row>
    <row r="170" spans="1:15" x14ac:dyDescent="0.3">
      <c r="A170" s="1" t="s">
        <v>841</v>
      </c>
      <c r="B170" s="2" t="str">
        <f>MID(Data_depth_integrated2[[#This Row],[Code_(plot+location+sub_location+sampling_day+HT/LT)]],1,SEARCH("_",Data_depth_integrated2[[#This Row],[Code_(plot+location+sub_location+sampling_day+HT/LT)]])-1)</f>
        <v>6</v>
      </c>
      <c r="C17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0" s="1" t="str">
        <f>MID(Data_depth_integrated2[[#This Row],[Code_(plot+location+sub_location+sampling_day+HT/LT)]],FIND("_Day",Data_depth_integrated2[[#This Row],[Code_(plot+location+sub_location+sampling_day+HT/LT)]])-1,1)</f>
        <v>1</v>
      </c>
      <c r="E17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70" s="3" t="b">
        <v>1</v>
      </c>
      <c r="G170" s="3" t="b">
        <v>0</v>
      </c>
      <c r="H170" s="3" t="b">
        <v>1</v>
      </c>
      <c r="I170" s="1">
        <v>44</v>
      </c>
      <c r="J170" s="1">
        <v>44</v>
      </c>
      <c r="K170" s="1">
        <v>59</v>
      </c>
      <c r="L170" s="13">
        <f>((Data_depth_integrated2[[#This Row],[Depth_of_water_column_to_sediment_layer]]/100)/Data_depth_integrated2[[#This Row],[Total_sampling_time]])</f>
        <v>7.4576271186440682E-3</v>
      </c>
      <c r="M170" s="14">
        <v>5.5</v>
      </c>
      <c r="N170" s="1" t="s">
        <v>280</v>
      </c>
      <c r="O170" s="13">
        <v>2.0499999999999963E-3</v>
      </c>
    </row>
    <row r="171" spans="1:15" x14ac:dyDescent="0.3">
      <c r="A171" s="1" t="s">
        <v>842</v>
      </c>
      <c r="B171" s="2" t="str">
        <f>MID(Data_depth_integrated2[[#This Row],[Code_(plot+location+sub_location+sampling_day+HT/LT)]],1,SEARCH("_",Data_depth_integrated2[[#This Row],[Code_(plot+location+sub_location+sampling_day+HT/LT)]])-1)</f>
        <v>6</v>
      </c>
      <c r="C17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1" s="1" t="str">
        <f>MID(Data_depth_integrated2[[#This Row],[Code_(plot+location+sub_location+sampling_day+HT/LT)]],FIND("_Day",Data_depth_integrated2[[#This Row],[Code_(plot+location+sub_location+sampling_day+HT/LT)]])-1,1)</f>
        <v>1</v>
      </c>
      <c r="E17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71" s="3" t="b">
        <v>0</v>
      </c>
      <c r="G171" s="3" t="b">
        <v>0</v>
      </c>
      <c r="H171" s="3" t="b">
        <v>1</v>
      </c>
      <c r="I171" s="1">
        <v>37</v>
      </c>
      <c r="J171" s="1">
        <v>37</v>
      </c>
      <c r="K171" s="1">
        <v>50</v>
      </c>
      <c r="L171" s="13">
        <f>((Data_depth_integrated2[[#This Row],[Depth_of_water_column_to_sediment_layer]]/100)/Data_depth_integrated2[[#This Row],[Total_sampling_time]])</f>
        <v>7.4000000000000003E-3</v>
      </c>
      <c r="M171" s="14">
        <v>5.88</v>
      </c>
      <c r="N171" s="1" t="s">
        <v>441</v>
      </c>
      <c r="O171" s="13">
        <v>5.2350000000000008E-2</v>
      </c>
    </row>
    <row r="172" spans="1:15" x14ac:dyDescent="0.3">
      <c r="A172" s="1" t="s">
        <v>173</v>
      </c>
      <c r="B172" s="2" t="str">
        <f>MID(Data_depth_integrated2[[#This Row],[Code_(plot+location+sub_location+sampling_day+HT/LT)]],1,SEARCH("_",Data_depth_integrated2[[#This Row],[Code_(plot+location+sub_location+sampling_day+HT/LT)]])-1)</f>
        <v>6</v>
      </c>
      <c r="C17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2" s="1" t="str">
        <f>MID(Data_depth_integrated2[[#This Row],[Code_(plot+location+sub_location+sampling_day+HT/LT)]],FIND("_Day",Data_depth_integrated2[[#This Row],[Code_(plot+location+sub_location+sampling_day+HT/LT)]])-1,1)</f>
        <v>2</v>
      </c>
      <c r="E17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72" s="3" t="b">
        <v>1</v>
      </c>
      <c r="G172" s="3" t="b">
        <v>0</v>
      </c>
      <c r="H172" s="3" t="b">
        <v>1</v>
      </c>
      <c r="I172" s="1">
        <v>52</v>
      </c>
      <c r="J172" s="1">
        <v>88</v>
      </c>
      <c r="K172" s="1">
        <v>49</v>
      </c>
      <c r="L172" s="13">
        <f>((Data_depth_integrated2[[#This Row],[Depth_of_water_column_to_sediment_layer]]/100)/Data_depth_integrated2[[#This Row],[Total_sampling_time]])</f>
        <v>1.0612244897959184E-2</v>
      </c>
      <c r="M172" s="14">
        <v>4.79</v>
      </c>
      <c r="N172" s="1" t="s">
        <v>384</v>
      </c>
      <c r="O172" s="13">
        <v>4.9600000000000019E-2</v>
      </c>
    </row>
    <row r="173" spans="1:15" x14ac:dyDescent="0.3">
      <c r="A173" s="1" t="s">
        <v>174</v>
      </c>
      <c r="B173" s="2" t="str">
        <f>MID(Data_depth_integrated2[[#This Row],[Code_(plot+location+sub_location+sampling_day+HT/LT)]],1,SEARCH("_",Data_depth_integrated2[[#This Row],[Code_(plot+location+sub_location+sampling_day+HT/LT)]])-1)</f>
        <v>6</v>
      </c>
      <c r="C17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3" s="1" t="str">
        <f>MID(Data_depth_integrated2[[#This Row],[Code_(plot+location+sub_location+sampling_day+HT/LT)]],FIND("_Day",Data_depth_integrated2[[#This Row],[Code_(plot+location+sub_location+sampling_day+HT/LT)]])-1,1)</f>
        <v>2</v>
      </c>
      <c r="E17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73" s="3" t="b">
        <v>0</v>
      </c>
      <c r="G173" s="3" t="b">
        <v>0</v>
      </c>
      <c r="H173" s="3" t="b">
        <v>1</v>
      </c>
      <c r="I173" s="1">
        <v>47</v>
      </c>
      <c r="J173" s="1">
        <v>84</v>
      </c>
      <c r="K173" s="1">
        <v>44</v>
      </c>
      <c r="L173" s="13">
        <f>((Data_depth_integrated2[[#This Row],[Depth_of_water_column_to_sediment_layer]]/100)/Data_depth_integrated2[[#This Row],[Total_sampling_time]])</f>
        <v>1.0681818181818181E-2</v>
      </c>
      <c r="M173" s="14">
        <v>5</v>
      </c>
      <c r="N173" s="1" t="s">
        <v>48</v>
      </c>
      <c r="O173" s="13">
        <v>7.7649999999999997E-2</v>
      </c>
    </row>
    <row r="174" spans="1:15" x14ac:dyDescent="0.3">
      <c r="A174" s="1" t="s">
        <v>175</v>
      </c>
      <c r="B174" s="2" t="str">
        <f>MID(Data_depth_integrated2[[#This Row],[Code_(plot+location+sub_location+sampling_day+HT/LT)]],1,SEARCH("_",Data_depth_integrated2[[#This Row],[Code_(plot+location+sub_location+sampling_day+HT/LT)]])-1)</f>
        <v>6</v>
      </c>
      <c r="C17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4" s="1" t="str">
        <f>MID(Data_depth_integrated2[[#This Row],[Code_(plot+location+sub_location+sampling_day+HT/LT)]],FIND("_Day",Data_depth_integrated2[[#This Row],[Code_(plot+location+sub_location+sampling_day+HT/LT)]])-1,1)</f>
        <v>2</v>
      </c>
      <c r="E17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74" s="3" t="b">
        <v>1</v>
      </c>
      <c r="G174" s="3" t="b">
        <v>0</v>
      </c>
      <c r="H174" s="3" t="b">
        <v>1</v>
      </c>
      <c r="I174" s="1">
        <v>52</v>
      </c>
      <c r="J174" s="1">
        <v>88</v>
      </c>
      <c r="K174" s="1">
        <v>60</v>
      </c>
      <c r="L174" s="13">
        <f>((Data_depth_integrated2[[#This Row],[Depth_of_water_column_to_sediment_layer]]/100)/Data_depth_integrated2[[#This Row],[Total_sampling_time]])</f>
        <v>8.6666666666666663E-3</v>
      </c>
      <c r="M174" s="14">
        <v>5.26</v>
      </c>
      <c r="N174" s="1" t="s">
        <v>53</v>
      </c>
      <c r="O174" s="13">
        <v>4.3900000000000008E-2</v>
      </c>
    </row>
    <row r="175" spans="1:15" x14ac:dyDescent="0.3">
      <c r="A175" s="1" t="s">
        <v>176</v>
      </c>
      <c r="B175" s="2" t="str">
        <f>MID(Data_depth_integrated2[[#This Row],[Code_(plot+location+sub_location+sampling_day+HT/LT)]],1,SEARCH("_",Data_depth_integrated2[[#This Row],[Code_(plot+location+sub_location+sampling_day+HT/LT)]])-1)</f>
        <v>6</v>
      </c>
      <c r="C17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5" s="1" t="str">
        <f>MID(Data_depth_integrated2[[#This Row],[Code_(plot+location+sub_location+sampling_day+HT/LT)]],FIND("_Day",Data_depth_integrated2[[#This Row],[Code_(plot+location+sub_location+sampling_day+HT/LT)]])-1,1)</f>
        <v>2</v>
      </c>
      <c r="E17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75" s="3" t="b">
        <v>0</v>
      </c>
      <c r="G175" s="3" t="b">
        <v>0</v>
      </c>
      <c r="H175" s="3" t="b">
        <v>1</v>
      </c>
      <c r="I175" s="1">
        <v>47</v>
      </c>
      <c r="J175" s="1">
        <v>84</v>
      </c>
      <c r="K175" s="1">
        <v>55</v>
      </c>
      <c r="L175" s="13">
        <f>((Data_depth_integrated2[[#This Row],[Depth_of_water_column_to_sediment_layer]]/100)/Data_depth_integrated2[[#This Row],[Total_sampling_time]])</f>
        <v>8.5454545454545453E-3</v>
      </c>
      <c r="M175" s="14">
        <v>5.98</v>
      </c>
      <c r="N175" s="1" t="s">
        <v>383</v>
      </c>
      <c r="O175" s="13">
        <v>8.8783333333333325E-2</v>
      </c>
    </row>
    <row r="176" spans="1:15" x14ac:dyDescent="0.3">
      <c r="A176" s="1" t="s">
        <v>177</v>
      </c>
      <c r="B176" s="2" t="str">
        <f>MID(Data_depth_integrated2[[#This Row],[Code_(plot+location+sub_location+sampling_day+HT/LT)]],1,SEARCH("_",Data_depth_integrated2[[#This Row],[Code_(plot+location+sub_location+sampling_day+HT/LT)]])-1)</f>
        <v>6</v>
      </c>
      <c r="C17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6" s="1" t="str">
        <f>MID(Data_depth_integrated2[[#This Row],[Code_(plot+location+sub_location+sampling_day+HT/LT)]],FIND("_Day",Data_depth_integrated2[[#This Row],[Code_(plot+location+sub_location+sampling_day+HT/LT)]])-1,1)</f>
        <v>2</v>
      </c>
      <c r="E17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76" s="3" t="b">
        <v>1</v>
      </c>
      <c r="G176" s="3" t="b">
        <v>0</v>
      </c>
      <c r="H176" s="3" t="b">
        <v>1</v>
      </c>
      <c r="I176" s="1">
        <v>52</v>
      </c>
      <c r="J176" s="1">
        <v>88</v>
      </c>
      <c r="K176" s="1">
        <v>57</v>
      </c>
      <c r="L176" s="13">
        <f>((Data_depth_integrated2[[#This Row],[Depth_of_water_column_to_sediment_layer]]/100)/Data_depth_integrated2[[#This Row],[Total_sampling_time]])</f>
        <v>9.1228070175438606E-3</v>
      </c>
      <c r="M176" s="14">
        <v>5.0199999999999996</v>
      </c>
      <c r="N176" s="1" t="s">
        <v>426</v>
      </c>
      <c r="O176" s="13">
        <v>4.9250000000000002E-2</v>
      </c>
    </row>
    <row r="177" spans="1:15" x14ac:dyDescent="0.3">
      <c r="A177" s="1" t="s">
        <v>178</v>
      </c>
      <c r="B177" s="2" t="str">
        <f>MID(Data_depth_integrated2[[#This Row],[Code_(plot+location+sub_location+sampling_day+HT/LT)]],1,SEARCH("_",Data_depth_integrated2[[#This Row],[Code_(plot+location+sub_location+sampling_day+HT/LT)]])-1)</f>
        <v>6</v>
      </c>
      <c r="C17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177" s="1" t="str">
        <f>MID(Data_depth_integrated2[[#This Row],[Code_(plot+location+sub_location+sampling_day+HT/LT)]],FIND("_Day",Data_depth_integrated2[[#This Row],[Code_(plot+location+sub_location+sampling_day+HT/LT)]])-1,1)</f>
        <v>2</v>
      </c>
      <c r="E17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77" s="3" t="b">
        <v>0</v>
      </c>
      <c r="G177" s="3" t="b">
        <v>0</v>
      </c>
      <c r="H177" s="3" t="b">
        <v>1</v>
      </c>
      <c r="I177" s="1">
        <v>47</v>
      </c>
      <c r="J177" s="1">
        <v>84</v>
      </c>
      <c r="K177" s="1">
        <v>40</v>
      </c>
      <c r="L177" s="13">
        <f>((Data_depth_integrated2[[#This Row],[Depth_of_water_column_to_sediment_layer]]/100)/Data_depth_integrated2[[#This Row],[Total_sampling_time]])</f>
        <v>1.175E-2</v>
      </c>
      <c r="M177" s="14">
        <v>4.76</v>
      </c>
      <c r="N177" s="1" t="s">
        <v>422</v>
      </c>
      <c r="O177" s="13">
        <v>0.3777833333333333</v>
      </c>
    </row>
    <row r="178" spans="1:15" x14ac:dyDescent="0.3">
      <c r="A178" s="1" t="s">
        <v>843</v>
      </c>
      <c r="B178" s="2" t="str">
        <f>MID(Data_depth_integrated2[[#This Row],[Code_(plot+location+sub_location+sampling_day+HT/LT)]],1,SEARCH("_",Data_depth_integrated2[[#This Row],[Code_(plot+location+sub_location+sampling_day+HT/LT)]])-1)</f>
        <v>6</v>
      </c>
      <c r="C17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78" s="1" t="str">
        <f>MID(Data_depth_integrated2[[#This Row],[Code_(plot+location+sub_location+sampling_day+HT/LT)]],FIND("_Day",Data_depth_integrated2[[#This Row],[Code_(plot+location+sub_location+sampling_day+HT/LT)]])-1,1)</f>
        <v>1</v>
      </c>
      <c r="E17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78" s="3" t="b">
        <v>1</v>
      </c>
      <c r="G178" s="3" t="b">
        <v>0</v>
      </c>
      <c r="H178" s="3" t="b">
        <v>1</v>
      </c>
      <c r="I178" s="1">
        <v>50</v>
      </c>
      <c r="J178" s="1">
        <v>64</v>
      </c>
      <c r="K178" s="1">
        <v>49</v>
      </c>
      <c r="L178" s="13">
        <f>((Data_depth_integrated2[[#This Row],[Depth_of_water_column_to_sediment_layer]]/100)/Data_depth_integrated2[[#This Row],[Total_sampling_time]])</f>
        <v>1.020408163265306E-2</v>
      </c>
      <c r="M178" s="14">
        <v>4.8899999999999997</v>
      </c>
      <c r="N178" s="1" t="s">
        <v>304</v>
      </c>
      <c r="O178" s="13">
        <v>2.0499999999999963E-3</v>
      </c>
    </row>
    <row r="179" spans="1:15" x14ac:dyDescent="0.3">
      <c r="A179" s="1" t="s">
        <v>844</v>
      </c>
      <c r="B179" s="2" t="str">
        <f>MID(Data_depth_integrated2[[#This Row],[Code_(plot+location+sub_location+sampling_day+HT/LT)]],1,SEARCH("_",Data_depth_integrated2[[#This Row],[Code_(plot+location+sub_location+sampling_day+HT/LT)]])-1)</f>
        <v>6</v>
      </c>
      <c r="C17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79" s="1" t="str">
        <f>MID(Data_depth_integrated2[[#This Row],[Code_(plot+location+sub_location+sampling_day+HT/LT)]],FIND("_Day",Data_depth_integrated2[[#This Row],[Code_(plot+location+sub_location+sampling_day+HT/LT)]])-1,1)</f>
        <v>1</v>
      </c>
      <c r="E17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79" s="3" t="b">
        <v>0</v>
      </c>
      <c r="G179" s="3" t="b">
        <v>0</v>
      </c>
      <c r="H179" s="3" t="b">
        <v>1</v>
      </c>
      <c r="I179" s="1">
        <v>46</v>
      </c>
      <c r="J179" s="1">
        <v>57</v>
      </c>
      <c r="K179" s="1">
        <v>50</v>
      </c>
      <c r="L179" s="13">
        <f>((Data_depth_integrated2[[#This Row],[Depth_of_water_column_to_sediment_layer]]/100)/Data_depth_integrated2[[#This Row],[Total_sampling_time]])</f>
        <v>9.1999999999999998E-3</v>
      </c>
      <c r="M179" s="14">
        <v>5.21</v>
      </c>
      <c r="N179" s="1" t="s">
        <v>301</v>
      </c>
      <c r="O179" s="13">
        <v>5.9833333333333322E-2</v>
      </c>
    </row>
    <row r="180" spans="1:15" x14ac:dyDescent="0.3">
      <c r="A180" s="1" t="s">
        <v>845</v>
      </c>
      <c r="B180" s="2" t="str">
        <f>MID(Data_depth_integrated2[[#This Row],[Code_(plot+location+sub_location+sampling_day+HT/LT)]],1,SEARCH("_",Data_depth_integrated2[[#This Row],[Code_(plot+location+sub_location+sampling_day+HT/LT)]])-1)</f>
        <v>6</v>
      </c>
      <c r="C18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0" s="1" t="str">
        <f>MID(Data_depth_integrated2[[#This Row],[Code_(plot+location+sub_location+sampling_day+HT/LT)]],FIND("_Day",Data_depth_integrated2[[#This Row],[Code_(plot+location+sub_location+sampling_day+HT/LT)]])-1,1)</f>
        <v>1</v>
      </c>
      <c r="E18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80" s="3" t="b">
        <v>1</v>
      </c>
      <c r="G180" s="3" t="b">
        <v>0</v>
      </c>
      <c r="H180" s="3" t="b">
        <v>1</v>
      </c>
      <c r="I180" s="1">
        <v>50</v>
      </c>
      <c r="J180" s="1">
        <v>64</v>
      </c>
      <c r="K180" s="1">
        <v>48</v>
      </c>
      <c r="L180" s="13">
        <f>((Data_depth_integrated2[[#This Row],[Depth_of_water_column_to_sediment_layer]]/100)/Data_depth_integrated2[[#This Row],[Total_sampling_time]])</f>
        <v>1.0416666666666666E-2</v>
      </c>
      <c r="M180" s="14">
        <v>4.8899999999999997</v>
      </c>
      <c r="N180" s="1" t="s">
        <v>272</v>
      </c>
      <c r="O180" s="13">
        <v>0.3777833333333333</v>
      </c>
    </row>
    <row r="181" spans="1:15" x14ac:dyDescent="0.3">
      <c r="A181" s="1" t="s">
        <v>846</v>
      </c>
      <c r="B181" s="2" t="str">
        <f>MID(Data_depth_integrated2[[#This Row],[Code_(plot+location+sub_location+sampling_day+HT/LT)]],1,SEARCH("_",Data_depth_integrated2[[#This Row],[Code_(plot+location+sub_location+sampling_day+HT/LT)]])-1)</f>
        <v>6</v>
      </c>
      <c r="C18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1" s="1" t="str">
        <f>MID(Data_depth_integrated2[[#This Row],[Code_(plot+location+sub_location+sampling_day+HT/LT)]],FIND("_Day",Data_depth_integrated2[[#This Row],[Code_(plot+location+sub_location+sampling_day+HT/LT)]])-1,1)</f>
        <v>1</v>
      </c>
      <c r="E18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81" s="3" t="b">
        <v>0</v>
      </c>
      <c r="G181" s="3" t="b">
        <v>0</v>
      </c>
      <c r="H181" s="3" t="b">
        <v>1</v>
      </c>
      <c r="I181" s="1">
        <v>46</v>
      </c>
      <c r="J181" s="1">
        <v>57</v>
      </c>
      <c r="K181" s="1">
        <v>49</v>
      </c>
      <c r="L181" s="13">
        <f>((Data_depth_integrated2[[#This Row],[Depth_of_water_column_to_sediment_layer]]/100)/Data_depth_integrated2[[#This Row],[Total_sampling_time]])</f>
        <v>9.3877551020408161E-3</v>
      </c>
      <c r="M181" s="14">
        <v>5.07</v>
      </c>
      <c r="N181" s="1" t="s">
        <v>338</v>
      </c>
      <c r="O181" s="13">
        <v>5.0150000000000014E-2</v>
      </c>
    </row>
    <row r="182" spans="1:15" x14ac:dyDescent="0.3">
      <c r="A182" s="1" t="s">
        <v>847</v>
      </c>
      <c r="B182" s="2" t="str">
        <f>MID(Data_depth_integrated2[[#This Row],[Code_(plot+location+sub_location+sampling_day+HT/LT)]],1,SEARCH("_",Data_depth_integrated2[[#This Row],[Code_(plot+location+sub_location+sampling_day+HT/LT)]])-1)</f>
        <v>6</v>
      </c>
      <c r="C18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2" s="1" t="str">
        <f>MID(Data_depth_integrated2[[#This Row],[Code_(plot+location+sub_location+sampling_day+HT/LT)]],FIND("_Day",Data_depth_integrated2[[#This Row],[Code_(plot+location+sub_location+sampling_day+HT/LT)]])-1,1)</f>
        <v>1</v>
      </c>
      <c r="E18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82" s="3" t="b">
        <v>1</v>
      </c>
      <c r="G182" s="3" t="b">
        <v>0</v>
      </c>
      <c r="H182" s="3" t="b">
        <v>1</v>
      </c>
      <c r="I182" s="1">
        <v>50</v>
      </c>
      <c r="J182" s="1">
        <v>64</v>
      </c>
      <c r="K182" s="1">
        <v>39</v>
      </c>
      <c r="L182" s="13">
        <f>((Data_depth_integrated2[[#This Row],[Depth_of_water_column_to_sediment_layer]]/100)/Data_depth_integrated2[[#This Row],[Total_sampling_time]])</f>
        <v>1.282051282051282E-2</v>
      </c>
      <c r="M182" s="14">
        <v>5.66</v>
      </c>
      <c r="N182" s="1" t="s">
        <v>375</v>
      </c>
      <c r="O182" s="13">
        <v>3.9916666666666684E-2</v>
      </c>
    </row>
    <row r="183" spans="1:15" x14ac:dyDescent="0.3">
      <c r="A183" s="1" t="s">
        <v>848</v>
      </c>
      <c r="B183" s="2" t="str">
        <f>MID(Data_depth_integrated2[[#This Row],[Code_(plot+location+sub_location+sampling_day+HT/LT)]],1,SEARCH("_",Data_depth_integrated2[[#This Row],[Code_(plot+location+sub_location+sampling_day+HT/LT)]])-1)</f>
        <v>6</v>
      </c>
      <c r="C18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3" s="1" t="str">
        <f>MID(Data_depth_integrated2[[#This Row],[Code_(plot+location+sub_location+sampling_day+HT/LT)]],FIND("_Day",Data_depth_integrated2[[#This Row],[Code_(plot+location+sub_location+sampling_day+HT/LT)]])-1,1)</f>
        <v>1</v>
      </c>
      <c r="E18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83" s="3" t="b">
        <v>0</v>
      </c>
      <c r="G183" s="3" t="b">
        <v>0</v>
      </c>
      <c r="H183" s="3" t="b">
        <v>1</v>
      </c>
      <c r="I183" s="1">
        <v>46</v>
      </c>
      <c r="J183" s="1">
        <v>57</v>
      </c>
      <c r="K183" s="1">
        <v>58</v>
      </c>
      <c r="L183" s="13">
        <f>((Data_depth_integrated2[[#This Row],[Depth_of_water_column_to_sediment_layer]]/100)/Data_depth_integrated2[[#This Row],[Total_sampling_time]])</f>
        <v>7.9310344827586213E-3</v>
      </c>
      <c r="M183" s="14">
        <v>5.2</v>
      </c>
      <c r="N183" s="1" t="s">
        <v>27</v>
      </c>
      <c r="O183" s="13">
        <v>3.8583333333333331E-2</v>
      </c>
    </row>
    <row r="184" spans="1:15" x14ac:dyDescent="0.3">
      <c r="A184" s="1" t="s">
        <v>179</v>
      </c>
      <c r="B184" s="2" t="str">
        <f>MID(Data_depth_integrated2[[#This Row],[Code_(plot+location+sub_location+sampling_day+HT/LT)]],1,SEARCH("_",Data_depth_integrated2[[#This Row],[Code_(plot+location+sub_location+sampling_day+HT/LT)]])-1)</f>
        <v>6</v>
      </c>
      <c r="C18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4" s="1" t="str">
        <f>MID(Data_depth_integrated2[[#This Row],[Code_(plot+location+sub_location+sampling_day+HT/LT)]],FIND("_Day",Data_depth_integrated2[[#This Row],[Code_(plot+location+sub_location+sampling_day+HT/LT)]])-1,1)</f>
        <v>2</v>
      </c>
      <c r="E18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84" s="3" t="b">
        <v>1</v>
      </c>
      <c r="G184" s="3" t="b">
        <v>0</v>
      </c>
      <c r="H184" s="3" t="b">
        <v>1</v>
      </c>
      <c r="I184" s="1">
        <v>55</v>
      </c>
      <c r="J184" s="1">
        <v>76</v>
      </c>
      <c r="K184" s="1">
        <v>49</v>
      </c>
      <c r="L184" s="13">
        <f>((Data_depth_integrated2[[#This Row],[Depth_of_water_column_to_sediment_layer]]/100)/Data_depth_integrated2[[#This Row],[Total_sampling_time]])</f>
        <v>1.1224489795918368E-2</v>
      </c>
      <c r="M184" s="14">
        <v>5.94</v>
      </c>
      <c r="N184" s="1" t="s">
        <v>341</v>
      </c>
      <c r="O184" s="13">
        <v>7.7649999999999997E-2</v>
      </c>
    </row>
    <row r="185" spans="1:15" x14ac:dyDescent="0.3">
      <c r="A185" s="1" t="s">
        <v>180</v>
      </c>
      <c r="B185" s="2" t="str">
        <f>MID(Data_depth_integrated2[[#This Row],[Code_(plot+location+sub_location+sampling_day+HT/LT)]],1,SEARCH("_",Data_depth_integrated2[[#This Row],[Code_(plot+location+sub_location+sampling_day+HT/LT)]])-1)</f>
        <v>6</v>
      </c>
      <c r="C18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5" s="1" t="str">
        <f>MID(Data_depth_integrated2[[#This Row],[Code_(plot+location+sub_location+sampling_day+HT/LT)]],FIND("_Day",Data_depth_integrated2[[#This Row],[Code_(plot+location+sub_location+sampling_day+HT/LT)]])-1,1)</f>
        <v>2</v>
      </c>
      <c r="E18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85" s="3" t="b">
        <v>0</v>
      </c>
      <c r="G185" s="3" t="b">
        <v>0</v>
      </c>
      <c r="H185" s="3" t="b">
        <v>1</v>
      </c>
      <c r="I185" s="1">
        <v>50</v>
      </c>
      <c r="J185" s="1">
        <v>72</v>
      </c>
      <c r="K185" s="1">
        <v>47</v>
      </c>
      <c r="L185" s="13">
        <f>((Data_depth_integrated2[[#This Row],[Depth_of_water_column_to_sediment_layer]]/100)/Data_depth_integrated2[[#This Row],[Total_sampling_time]])</f>
        <v>1.0638297872340425E-2</v>
      </c>
      <c r="M185" s="14">
        <v>5.84</v>
      </c>
      <c r="N185" s="1" t="s">
        <v>106</v>
      </c>
      <c r="O185" s="13">
        <v>5.1549999999999985E-2</v>
      </c>
    </row>
    <row r="186" spans="1:15" x14ac:dyDescent="0.3">
      <c r="A186" s="1" t="s">
        <v>181</v>
      </c>
      <c r="B186" s="2" t="str">
        <f>MID(Data_depth_integrated2[[#This Row],[Code_(plot+location+sub_location+sampling_day+HT/LT)]],1,SEARCH("_",Data_depth_integrated2[[#This Row],[Code_(plot+location+sub_location+sampling_day+HT/LT)]])-1)</f>
        <v>6</v>
      </c>
      <c r="C18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6" s="1" t="str">
        <f>MID(Data_depth_integrated2[[#This Row],[Code_(plot+location+sub_location+sampling_day+HT/LT)]],FIND("_Day",Data_depth_integrated2[[#This Row],[Code_(plot+location+sub_location+sampling_day+HT/LT)]])-1,1)</f>
        <v>2</v>
      </c>
      <c r="E18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86" s="3" t="b">
        <v>1</v>
      </c>
      <c r="G186" s="3" t="b">
        <v>0</v>
      </c>
      <c r="H186" s="3" t="b">
        <v>1</v>
      </c>
      <c r="I186" s="1">
        <v>55</v>
      </c>
      <c r="J186" s="1">
        <v>76</v>
      </c>
      <c r="K186" s="1">
        <v>56</v>
      </c>
      <c r="L186" s="13">
        <f>((Data_depth_integrated2[[#This Row],[Depth_of_water_column_to_sediment_layer]]/100)/Data_depth_integrated2[[#This Row],[Total_sampling_time]])</f>
        <v>9.821428571428573E-3</v>
      </c>
      <c r="M186" s="14">
        <v>5.62</v>
      </c>
      <c r="N186" s="1" t="s">
        <v>305</v>
      </c>
      <c r="O186" s="13">
        <v>6.5600000000000006E-2</v>
      </c>
    </row>
    <row r="187" spans="1:15" x14ac:dyDescent="0.3">
      <c r="A187" s="1" t="s">
        <v>182</v>
      </c>
      <c r="B187" s="2" t="str">
        <f>MID(Data_depth_integrated2[[#This Row],[Code_(plot+location+sub_location+sampling_day+HT/LT)]],1,SEARCH("_",Data_depth_integrated2[[#This Row],[Code_(plot+location+sub_location+sampling_day+HT/LT)]])-1)</f>
        <v>6</v>
      </c>
      <c r="C18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7" s="1" t="str">
        <f>MID(Data_depth_integrated2[[#This Row],[Code_(plot+location+sub_location+sampling_day+HT/LT)]],FIND("_Day",Data_depth_integrated2[[#This Row],[Code_(plot+location+sub_location+sampling_day+HT/LT)]])-1,1)</f>
        <v>2</v>
      </c>
      <c r="E18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87" s="3" t="b">
        <v>0</v>
      </c>
      <c r="G187" s="3" t="b">
        <v>0</v>
      </c>
      <c r="H187" s="3" t="b">
        <v>1</v>
      </c>
      <c r="I187" s="1">
        <v>50</v>
      </c>
      <c r="J187" s="1">
        <v>72</v>
      </c>
      <c r="K187" s="1">
        <v>43</v>
      </c>
      <c r="L187" s="13">
        <f>((Data_depth_integrated2[[#This Row],[Depth_of_water_column_to_sediment_layer]]/100)/Data_depth_integrated2[[#This Row],[Total_sampling_time]])</f>
        <v>1.1627906976744186E-2</v>
      </c>
      <c r="M187" s="14">
        <v>6</v>
      </c>
      <c r="N187" s="1" t="s">
        <v>438</v>
      </c>
      <c r="O187" s="13">
        <v>4.9600000000000019E-2</v>
      </c>
    </row>
    <row r="188" spans="1:15" x14ac:dyDescent="0.3">
      <c r="A188" s="1" t="s">
        <v>183</v>
      </c>
      <c r="B188" s="2" t="str">
        <f>MID(Data_depth_integrated2[[#This Row],[Code_(plot+location+sub_location+sampling_day+HT/LT)]],1,SEARCH("_",Data_depth_integrated2[[#This Row],[Code_(plot+location+sub_location+sampling_day+HT/LT)]])-1)</f>
        <v>6</v>
      </c>
      <c r="C18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8" s="1" t="str">
        <f>MID(Data_depth_integrated2[[#This Row],[Code_(plot+location+sub_location+sampling_day+HT/LT)]],FIND("_Day",Data_depth_integrated2[[#This Row],[Code_(plot+location+sub_location+sampling_day+HT/LT)]])-1,1)</f>
        <v>2</v>
      </c>
      <c r="E18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88" s="3" t="b">
        <v>1</v>
      </c>
      <c r="G188" s="3" t="b">
        <v>0</v>
      </c>
      <c r="H188" s="3" t="b">
        <v>1</v>
      </c>
      <c r="I188" s="1">
        <v>55</v>
      </c>
      <c r="J188" s="1">
        <v>76</v>
      </c>
      <c r="K188" s="1">
        <v>40</v>
      </c>
      <c r="L188" s="13">
        <f>((Data_depth_integrated2[[#This Row],[Depth_of_water_column_to_sediment_layer]]/100)/Data_depth_integrated2[[#This Row],[Total_sampling_time]])</f>
        <v>1.3750000000000002E-2</v>
      </c>
      <c r="M188" s="14">
        <v>5</v>
      </c>
      <c r="N188" s="1" t="s">
        <v>82</v>
      </c>
      <c r="O188" s="13">
        <v>0.10658333333333334</v>
      </c>
    </row>
    <row r="189" spans="1:15" x14ac:dyDescent="0.3">
      <c r="A189" s="1" t="s">
        <v>184</v>
      </c>
      <c r="B189" s="2" t="str">
        <f>MID(Data_depth_integrated2[[#This Row],[Code_(plot+location+sub_location+sampling_day+HT/LT)]],1,SEARCH("_",Data_depth_integrated2[[#This Row],[Code_(plot+location+sub_location+sampling_day+HT/LT)]])-1)</f>
        <v>6</v>
      </c>
      <c r="C18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189" s="1" t="str">
        <f>MID(Data_depth_integrated2[[#This Row],[Code_(plot+location+sub_location+sampling_day+HT/LT)]],FIND("_Day",Data_depth_integrated2[[#This Row],[Code_(plot+location+sub_location+sampling_day+HT/LT)]])-1,1)</f>
        <v>2</v>
      </c>
      <c r="E18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89" s="3" t="b">
        <v>0</v>
      </c>
      <c r="G189" s="3" t="b">
        <v>0</v>
      </c>
      <c r="H189" s="3" t="b">
        <v>1</v>
      </c>
      <c r="I189" s="1">
        <v>50</v>
      </c>
      <c r="J189" s="1">
        <v>72</v>
      </c>
      <c r="K189" s="1">
        <v>47</v>
      </c>
      <c r="L189" s="13">
        <f>((Data_depth_integrated2[[#This Row],[Depth_of_water_column_to_sediment_layer]]/100)/Data_depth_integrated2[[#This Row],[Total_sampling_time]])</f>
        <v>1.0638297872340425E-2</v>
      </c>
      <c r="M189" s="14">
        <v>5.0199999999999996</v>
      </c>
      <c r="N189" s="1" t="s">
        <v>406</v>
      </c>
      <c r="O189" s="13">
        <v>5.2350000000000008E-2</v>
      </c>
    </row>
    <row r="190" spans="1:15" x14ac:dyDescent="0.3">
      <c r="A190" s="1" t="s">
        <v>849</v>
      </c>
      <c r="B190" s="2" t="str">
        <f>MID(Data_depth_integrated2[[#This Row],[Code_(plot+location+sub_location+sampling_day+HT/LT)]],1,SEARCH("_",Data_depth_integrated2[[#This Row],[Code_(plot+location+sub_location+sampling_day+HT/LT)]])-1)</f>
        <v>8</v>
      </c>
      <c r="C19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0" s="1" t="str">
        <f>MID(Data_depth_integrated2[[#This Row],[Code_(plot+location+sub_location+sampling_day+HT/LT)]],FIND("_Day",Data_depth_integrated2[[#This Row],[Code_(plot+location+sub_location+sampling_day+HT/LT)]])-1,1)</f>
        <v>1</v>
      </c>
      <c r="E19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90" s="3" t="b">
        <v>1</v>
      </c>
      <c r="G190" s="3" t="b">
        <v>0</v>
      </c>
      <c r="H190" s="3" t="b">
        <v>1</v>
      </c>
      <c r="I190" s="1">
        <v>17</v>
      </c>
      <c r="J190" s="1">
        <v>32</v>
      </c>
      <c r="K190" s="1">
        <v>45</v>
      </c>
      <c r="L190" s="13">
        <f>((Data_depth_integrated2[[#This Row],[Depth_of_water_column_to_sediment_layer]]/100)/Data_depth_integrated2[[#This Row],[Total_sampling_time]])</f>
        <v>3.7777777777777779E-3</v>
      </c>
      <c r="M190" s="14">
        <v>4.72</v>
      </c>
      <c r="N190" s="1" t="s">
        <v>418</v>
      </c>
      <c r="O190" s="13">
        <v>9.1399999999999981E-2</v>
      </c>
    </row>
    <row r="191" spans="1:15" x14ac:dyDescent="0.3">
      <c r="A191" s="1" t="s">
        <v>850</v>
      </c>
      <c r="B191" s="2" t="str">
        <f>MID(Data_depth_integrated2[[#This Row],[Code_(plot+location+sub_location+sampling_day+HT/LT)]],1,SEARCH("_",Data_depth_integrated2[[#This Row],[Code_(plot+location+sub_location+sampling_day+HT/LT)]])-1)</f>
        <v>8</v>
      </c>
      <c r="C19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1" s="1" t="str">
        <f>MID(Data_depth_integrated2[[#This Row],[Code_(plot+location+sub_location+sampling_day+HT/LT)]],FIND("_Day",Data_depth_integrated2[[#This Row],[Code_(plot+location+sub_location+sampling_day+HT/LT)]])-1,1)</f>
        <v>1</v>
      </c>
      <c r="E19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91" s="3" t="b">
        <v>0</v>
      </c>
      <c r="G191" s="3" t="b">
        <v>0</v>
      </c>
      <c r="H191" s="3" t="b">
        <v>1</v>
      </c>
      <c r="I191" s="1">
        <v>13</v>
      </c>
      <c r="J191" s="1">
        <v>28</v>
      </c>
      <c r="K191" s="1">
        <v>57</v>
      </c>
      <c r="L191" s="13">
        <f>((Data_depth_integrated2[[#This Row],[Depth_of_water_column_to_sediment_layer]]/100)/Data_depth_integrated2[[#This Row],[Total_sampling_time]])</f>
        <v>2.2807017543859651E-3</v>
      </c>
      <c r="M191" s="14">
        <v>5.68</v>
      </c>
      <c r="N191" s="1" t="s">
        <v>74</v>
      </c>
      <c r="O191" s="13">
        <v>8.1600000000000006E-2</v>
      </c>
    </row>
    <row r="192" spans="1:15" x14ac:dyDescent="0.3">
      <c r="A192" s="1" t="s">
        <v>851</v>
      </c>
      <c r="B192" s="2" t="str">
        <f>MID(Data_depth_integrated2[[#This Row],[Code_(plot+location+sub_location+sampling_day+HT/LT)]],1,SEARCH("_",Data_depth_integrated2[[#This Row],[Code_(plot+location+sub_location+sampling_day+HT/LT)]])-1)</f>
        <v>8</v>
      </c>
      <c r="C19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2" s="1" t="str">
        <f>MID(Data_depth_integrated2[[#This Row],[Code_(plot+location+sub_location+sampling_day+HT/LT)]],FIND("_Day",Data_depth_integrated2[[#This Row],[Code_(plot+location+sub_location+sampling_day+HT/LT)]])-1,1)</f>
        <v>1</v>
      </c>
      <c r="E19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92" s="3" t="b">
        <v>1</v>
      </c>
      <c r="G192" s="3" t="b">
        <v>0</v>
      </c>
      <c r="H192" s="3" t="b">
        <v>1</v>
      </c>
      <c r="I192" s="1">
        <v>17</v>
      </c>
      <c r="J192" s="1">
        <v>32</v>
      </c>
      <c r="K192" s="1">
        <v>39</v>
      </c>
      <c r="L192" s="13">
        <f>((Data_depth_integrated2[[#This Row],[Depth_of_water_column_to_sediment_layer]]/100)/Data_depth_integrated2[[#This Row],[Total_sampling_time]])</f>
        <v>4.3589743589743596E-3</v>
      </c>
      <c r="M192" s="14">
        <v>5.81</v>
      </c>
      <c r="N192" s="1" t="s">
        <v>243</v>
      </c>
      <c r="O192" s="13">
        <v>0.10775</v>
      </c>
    </row>
    <row r="193" spans="1:15" x14ac:dyDescent="0.3">
      <c r="A193" s="1" t="s">
        <v>852</v>
      </c>
      <c r="B193" s="2" t="str">
        <f>MID(Data_depth_integrated2[[#This Row],[Code_(plot+location+sub_location+sampling_day+HT/LT)]],1,SEARCH("_",Data_depth_integrated2[[#This Row],[Code_(plot+location+sub_location+sampling_day+HT/LT)]])-1)</f>
        <v>8</v>
      </c>
      <c r="C19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3" s="1" t="str">
        <f>MID(Data_depth_integrated2[[#This Row],[Code_(plot+location+sub_location+sampling_day+HT/LT)]],FIND("_Day",Data_depth_integrated2[[#This Row],[Code_(plot+location+sub_location+sampling_day+HT/LT)]])-1,1)</f>
        <v>1</v>
      </c>
      <c r="E19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93" s="3" t="b">
        <v>0</v>
      </c>
      <c r="G193" s="3" t="b">
        <v>0</v>
      </c>
      <c r="H193" s="3" t="b">
        <v>1</v>
      </c>
      <c r="I193" s="1">
        <v>13</v>
      </c>
      <c r="J193" s="1">
        <v>28</v>
      </c>
      <c r="K193" s="1">
        <v>50</v>
      </c>
      <c r="L193" s="13">
        <f>((Data_depth_integrated2[[#This Row],[Depth_of_water_column_to_sediment_layer]]/100)/Data_depth_integrated2[[#This Row],[Total_sampling_time]])</f>
        <v>2.5999999999999999E-3</v>
      </c>
      <c r="M193" s="14">
        <v>5.71</v>
      </c>
      <c r="N193" s="1" t="s">
        <v>326</v>
      </c>
      <c r="O193" s="13">
        <v>7.8099999999999989E-2</v>
      </c>
    </row>
    <row r="194" spans="1:15" x14ac:dyDescent="0.3">
      <c r="A194" s="1" t="s">
        <v>853</v>
      </c>
      <c r="B194" s="2" t="str">
        <f>MID(Data_depth_integrated2[[#This Row],[Code_(plot+location+sub_location+sampling_day+HT/LT)]],1,SEARCH("_",Data_depth_integrated2[[#This Row],[Code_(plot+location+sub_location+sampling_day+HT/LT)]])-1)</f>
        <v>8</v>
      </c>
      <c r="C19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4" s="1" t="str">
        <f>MID(Data_depth_integrated2[[#This Row],[Code_(plot+location+sub_location+sampling_day+HT/LT)]],FIND("_Day",Data_depth_integrated2[[#This Row],[Code_(plot+location+sub_location+sampling_day+HT/LT)]])-1,1)</f>
        <v>1</v>
      </c>
      <c r="E19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94" s="3" t="b">
        <v>1</v>
      </c>
      <c r="G194" s="3" t="b">
        <v>0</v>
      </c>
      <c r="H194" s="3" t="b">
        <v>1</v>
      </c>
      <c r="I194" s="1">
        <v>17</v>
      </c>
      <c r="J194" s="1">
        <v>32</v>
      </c>
      <c r="K194" s="1">
        <v>48</v>
      </c>
      <c r="L194" s="13">
        <f>((Data_depth_integrated2[[#This Row],[Depth_of_water_column_to_sediment_layer]]/100)/Data_depth_integrated2[[#This Row],[Total_sampling_time]])</f>
        <v>3.5416666666666669E-3</v>
      </c>
      <c r="M194" s="14">
        <v>5.6</v>
      </c>
      <c r="N194" s="1" t="s">
        <v>30</v>
      </c>
      <c r="O194" s="13">
        <v>7.7550000000000008E-2</v>
      </c>
    </row>
    <row r="195" spans="1:15" x14ac:dyDescent="0.3">
      <c r="A195" s="1" t="s">
        <v>854</v>
      </c>
      <c r="B195" s="2" t="str">
        <f>MID(Data_depth_integrated2[[#This Row],[Code_(plot+location+sub_location+sampling_day+HT/LT)]],1,SEARCH("_",Data_depth_integrated2[[#This Row],[Code_(plot+location+sub_location+sampling_day+HT/LT)]])-1)</f>
        <v>8</v>
      </c>
      <c r="C19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5" s="1" t="str">
        <f>MID(Data_depth_integrated2[[#This Row],[Code_(plot+location+sub_location+sampling_day+HT/LT)]],FIND("_Day",Data_depth_integrated2[[#This Row],[Code_(plot+location+sub_location+sampling_day+HT/LT)]])-1,1)</f>
        <v>1</v>
      </c>
      <c r="E19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195" s="3" t="b">
        <v>0</v>
      </c>
      <c r="G195" s="3" t="b">
        <v>0</v>
      </c>
      <c r="H195" s="3" t="b">
        <v>1</v>
      </c>
      <c r="I195" s="1">
        <v>13</v>
      </c>
      <c r="J195" s="1">
        <v>28</v>
      </c>
      <c r="K195" s="1">
        <v>52</v>
      </c>
      <c r="L195" s="13">
        <f>((Data_depth_integrated2[[#This Row],[Depth_of_water_column_to_sediment_layer]]/100)/Data_depth_integrated2[[#This Row],[Total_sampling_time]])</f>
        <v>2.5000000000000001E-3</v>
      </c>
      <c r="M195" s="14">
        <v>5.88</v>
      </c>
      <c r="N195" s="1" t="s">
        <v>313</v>
      </c>
      <c r="O195" s="13">
        <v>5.6600000000000025E-2</v>
      </c>
    </row>
    <row r="196" spans="1:15" x14ac:dyDescent="0.3">
      <c r="A196" s="1" t="s">
        <v>855</v>
      </c>
      <c r="B196" s="2" t="str">
        <f>MID(Data_depth_integrated2[[#This Row],[Code_(plot+location+sub_location+sampling_day+HT/LT)]],1,SEARCH("_",Data_depth_integrated2[[#This Row],[Code_(plot+location+sub_location+sampling_day+HT/LT)]])-1)</f>
        <v>8</v>
      </c>
      <c r="C19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6" s="1" t="str">
        <f>MID(Data_depth_integrated2[[#This Row],[Code_(plot+location+sub_location+sampling_day+HT/LT)]],FIND("_Day",Data_depth_integrated2[[#This Row],[Code_(plot+location+sub_location+sampling_day+HT/LT)]])-1,1)</f>
        <v>2</v>
      </c>
      <c r="E19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96" s="3" t="b">
        <v>1</v>
      </c>
      <c r="G196" s="3" t="b">
        <v>0</v>
      </c>
      <c r="H196" s="3" t="b">
        <v>1</v>
      </c>
      <c r="I196" s="1">
        <v>59</v>
      </c>
      <c r="J196" s="1">
        <v>66</v>
      </c>
      <c r="K196" s="1">
        <v>54</v>
      </c>
      <c r="L196" s="13">
        <f>((Data_depth_integrated2[[#This Row],[Depth_of_water_column_to_sediment_layer]]/100)/Data_depth_integrated2[[#This Row],[Total_sampling_time]])</f>
        <v>1.0925925925925926E-2</v>
      </c>
      <c r="M196" s="14">
        <v>4.92</v>
      </c>
      <c r="N196" s="1" t="s">
        <v>78</v>
      </c>
      <c r="O196" s="13">
        <v>0.1258333333333333</v>
      </c>
    </row>
    <row r="197" spans="1:15" x14ac:dyDescent="0.3">
      <c r="A197" s="1" t="s">
        <v>856</v>
      </c>
      <c r="B197" s="2" t="str">
        <f>MID(Data_depth_integrated2[[#This Row],[Code_(plot+location+sub_location+sampling_day+HT/LT)]],1,SEARCH("_",Data_depth_integrated2[[#This Row],[Code_(plot+location+sub_location+sampling_day+HT/LT)]])-1)</f>
        <v>8</v>
      </c>
      <c r="C19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7" s="1" t="str">
        <f>MID(Data_depth_integrated2[[#This Row],[Code_(plot+location+sub_location+sampling_day+HT/LT)]],FIND("_Day",Data_depth_integrated2[[#This Row],[Code_(plot+location+sub_location+sampling_day+HT/LT)]])-1,1)</f>
        <v>2</v>
      </c>
      <c r="E19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197" s="3" t="b">
        <v>0</v>
      </c>
      <c r="G197" s="3" t="b">
        <v>0</v>
      </c>
      <c r="H197" s="3" t="b">
        <v>1</v>
      </c>
      <c r="I197" s="1">
        <v>57</v>
      </c>
      <c r="J197" s="1">
        <v>64</v>
      </c>
      <c r="K197" s="1">
        <v>48</v>
      </c>
      <c r="L197" s="13">
        <f>((Data_depth_integrated2[[#This Row],[Depth_of_water_column_to_sediment_layer]]/100)/Data_depth_integrated2[[#This Row],[Total_sampling_time]])</f>
        <v>1.1874999999999998E-2</v>
      </c>
      <c r="M197" s="14">
        <v>5.4</v>
      </c>
      <c r="N197" s="1" t="s">
        <v>56</v>
      </c>
      <c r="O197" s="13">
        <v>6.5600000000000006E-2</v>
      </c>
    </row>
    <row r="198" spans="1:15" x14ac:dyDescent="0.3">
      <c r="A198" s="1" t="s">
        <v>857</v>
      </c>
      <c r="B198" s="2" t="str">
        <f>MID(Data_depth_integrated2[[#This Row],[Code_(plot+location+sub_location+sampling_day+HT/LT)]],1,SEARCH("_",Data_depth_integrated2[[#This Row],[Code_(plot+location+sub_location+sampling_day+HT/LT)]])-1)</f>
        <v>8</v>
      </c>
      <c r="C19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8" s="1" t="str">
        <f>MID(Data_depth_integrated2[[#This Row],[Code_(plot+location+sub_location+sampling_day+HT/LT)]],FIND("_Day",Data_depth_integrated2[[#This Row],[Code_(plot+location+sub_location+sampling_day+HT/LT)]])-1,1)</f>
        <v>2</v>
      </c>
      <c r="E19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98" s="3" t="b">
        <v>1</v>
      </c>
      <c r="G198" s="3" t="b">
        <v>0</v>
      </c>
      <c r="H198" s="3" t="b">
        <v>1</v>
      </c>
      <c r="I198" s="1">
        <v>59</v>
      </c>
      <c r="J198" s="1">
        <v>66</v>
      </c>
      <c r="K198" s="1">
        <v>42</v>
      </c>
      <c r="L198" s="13">
        <f>((Data_depth_integrated2[[#This Row],[Depth_of_water_column_to_sediment_layer]]/100)/Data_depth_integrated2[[#This Row],[Total_sampling_time]])</f>
        <v>1.4047619047619047E-2</v>
      </c>
      <c r="M198" s="14">
        <v>5.55</v>
      </c>
      <c r="N198" s="1" t="s">
        <v>41</v>
      </c>
      <c r="O198" s="13">
        <v>3.9916666666666684E-2</v>
      </c>
    </row>
    <row r="199" spans="1:15" x14ac:dyDescent="0.3">
      <c r="A199" s="1" t="s">
        <v>858</v>
      </c>
      <c r="B199" s="2" t="str">
        <f>MID(Data_depth_integrated2[[#This Row],[Code_(plot+location+sub_location+sampling_day+HT/LT)]],1,SEARCH("_",Data_depth_integrated2[[#This Row],[Code_(plot+location+sub_location+sampling_day+HT/LT)]])-1)</f>
        <v>8</v>
      </c>
      <c r="C19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199" s="1" t="str">
        <f>MID(Data_depth_integrated2[[#This Row],[Code_(plot+location+sub_location+sampling_day+HT/LT)]],FIND("_Day",Data_depth_integrated2[[#This Row],[Code_(plot+location+sub_location+sampling_day+HT/LT)]])-1,1)</f>
        <v>2</v>
      </c>
      <c r="E19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199" s="3" t="b">
        <v>0</v>
      </c>
      <c r="G199" s="3" t="b">
        <v>0</v>
      </c>
      <c r="H199" s="3" t="b">
        <v>1</v>
      </c>
      <c r="I199" s="1">
        <v>57</v>
      </c>
      <c r="J199" s="1">
        <v>64</v>
      </c>
      <c r="K199" s="1">
        <v>40</v>
      </c>
      <c r="L199" s="13">
        <f>((Data_depth_integrated2[[#This Row],[Depth_of_water_column_to_sediment_layer]]/100)/Data_depth_integrated2[[#This Row],[Total_sampling_time]])</f>
        <v>1.4249999999999999E-2</v>
      </c>
      <c r="M199" s="14">
        <v>5.43</v>
      </c>
      <c r="N199" s="1" t="s">
        <v>389</v>
      </c>
      <c r="O199" s="13">
        <v>4.9250000000000002E-2</v>
      </c>
    </row>
    <row r="200" spans="1:15" x14ac:dyDescent="0.3">
      <c r="A200" s="1" t="s">
        <v>859</v>
      </c>
      <c r="B200" s="2" t="str">
        <f>MID(Data_depth_integrated2[[#This Row],[Code_(plot+location+sub_location+sampling_day+HT/LT)]],1,SEARCH("_",Data_depth_integrated2[[#This Row],[Code_(plot+location+sub_location+sampling_day+HT/LT)]])-1)</f>
        <v>8</v>
      </c>
      <c r="C20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200" s="1" t="str">
        <f>MID(Data_depth_integrated2[[#This Row],[Code_(plot+location+sub_location+sampling_day+HT/LT)]],FIND("_Day",Data_depth_integrated2[[#This Row],[Code_(plot+location+sub_location+sampling_day+HT/LT)]])-1,1)</f>
        <v>2</v>
      </c>
      <c r="E20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00" s="3" t="b">
        <v>1</v>
      </c>
      <c r="G200" s="3" t="b">
        <v>0</v>
      </c>
      <c r="H200" s="3" t="b">
        <v>1</v>
      </c>
      <c r="I200" s="1">
        <v>59</v>
      </c>
      <c r="J200" s="1">
        <v>66</v>
      </c>
      <c r="K200" s="1">
        <v>53</v>
      </c>
      <c r="L200" s="13">
        <f>((Data_depth_integrated2[[#This Row],[Depth_of_water_column_to_sediment_layer]]/100)/Data_depth_integrated2[[#This Row],[Total_sampling_time]])</f>
        <v>1.1132075471698113E-2</v>
      </c>
      <c r="M200" s="14">
        <v>5.27</v>
      </c>
      <c r="N200" s="1" t="s">
        <v>83</v>
      </c>
      <c r="O200" s="13">
        <v>4.515000000000001E-2</v>
      </c>
    </row>
    <row r="201" spans="1:15" x14ac:dyDescent="0.3">
      <c r="A201" s="1" t="s">
        <v>860</v>
      </c>
      <c r="B201" s="2" t="str">
        <f>MID(Data_depth_integrated2[[#This Row],[Code_(plot+location+sub_location+sampling_day+HT/LT)]],1,SEARCH("_",Data_depth_integrated2[[#This Row],[Code_(plot+location+sub_location+sampling_day+HT/LT)]])-1)</f>
        <v>8</v>
      </c>
      <c r="C20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C</v>
      </c>
      <c r="D201" s="1" t="str">
        <f>MID(Data_depth_integrated2[[#This Row],[Code_(plot+location+sub_location+sampling_day+HT/LT)]],FIND("_Day",Data_depth_integrated2[[#This Row],[Code_(plot+location+sub_location+sampling_day+HT/LT)]])-1,1)</f>
        <v>2</v>
      </c>
      <c r="E20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01" s="3" t="b">
        <v>0</v>
      </c>
      <c r="G201" s="3" t="b">
        <v>0</v>
      </c>
      <c r="H201" s="3" t="b">
        <v>1</v>
      </c>
      <c r="I201" s="1">
        <v>57</v>
      </c>
      <c r="J201" s="1">
        <v>64</v>
      </c>
      <c r="K201" s="1">
        <v>52</v>
      </c>
      <c r="L201" s="13">
        <f>((Data_depth_integrated2[[#This Row],[Depth_of_water_column_to_sediment_layer]]/100)/Data_depth_integrated2[[#This Row],[Total_sampling_time]])</f>
        <v>1.096153846153846E-2</v>
      </c>
      <c r="M201" s="14">
        <v>5.99</v>
      </c>
      <c r="N201" s="1" t="s">
        <v>85</v>
      </c>
      <c r="O201" s="13">
        <v>3.6150000000000002E-2</v>
      </c>
    </row>
    <row r="202" spans="1:15" x14ac:dyDescent="0.3">
      <c r="A202" s="1" t="s">
        <v>861</v>
      </c>
      <c r="B202" s="2" t="str">
        <f>MID(Data_depth_integrated2[[#This Row],[Code_(plot+location+sub_location+sampling_day+HT/LT)]],1,SEARCH("_",Data_depth_integrated2[[#This Row],[Code_(plot+location+sub_location+sampling_day+HT/LT)]])-1)</f>
        <v>8</v>
      </c>
      <c r="C20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2" s="1" t="str">
        <f>MID(Data_depth_integrated2[[#This Row],[Code_(plot+location+sub_location+sampling_day+HT/LT)]],FIND("_Day",Data_depth_integrated2[[#This Row],[Code_(plot+location+sub_location+sampling_day+HT/LT)]])-1,1)</f>
        <v>1</v>
      </c>
      <c r="E20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02" s="3" t="b">
        <v>1</v>
      </c>
      <c r="G202" s="3" t="b">
        <v>0</v>
      </c>
      <c r="H202" s="3" t="b">
        <v>1</v>
      </c>
      <c r="I202" s="1">
        <v>59</v>
      </c>
      <c r="J202" s="1">
        <v>66</v>
      </c>
      <c r="K202" s="1">
        <v>46</v>
      </c>
      <c r="L202" s="13">
        <f>((Data_depth_integrated2[[#This Row],[Depth_of_water_column_to_sediment_layer]]/100)/Data_depth_integrated2[[#This Row],[Total_sampling_time]])</f>
        <v>1.2826086956521739E-2</v>
      </c>
      <c r="M202" s="14">
        <v>5.03</v>
      </c>
      <c r="N202" s="1" t="s">
        <v>77</v>
      </c>
      <c r="O202" s="13">
        <v>6.9049999999999986E-2</v>
      </c>
    </row>
    <row r="203" spans="1:15" x14ac:dyDescent="0.3">
      <c r="A203" s="1" t="s">
        <v>862</v>
      </c>
      <c r="B203" s="2" t="str">
        <f>MID(Data_depth_integrated2[[#This Row],[Code_(plot+location+sub_location+sampling_day+HT/LT)]],1,SEARCH("_",Data_depth_integrated2[[#This Row],[Code_(plot+location+sub_location+sampling_day+HT/LT)]])-1)</f>
        <v>8</v>
      </c>
      <c r="C20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3" s="1" t="str">
        <f>MID(Data_depth_integrated2[[#This Row],[Code_(plot+location+sub_location+sampling_day+HT/LT)]],FIND("_Day",Data_depth_integrated2[[#This Row],[Code_(plot+location+sub_location+sampling_day+HT/LT)]])-1,1)</f>
        <v>1</v>
      </c>
      <c r="E20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03" s="3" t="b">
        <v>0</v>
      </c>
      <c r="G203" s="3" t="b">
        <v>0</v>
      </c>
      <c r="H203" s="3" t="b">
        <v>1</v>
      </c>
      <c r="I203" s="1">
        <v>57</v>
      </c>
      <c r="J203" s="1">
        <v>64</v>
      </c>
      <c r="K203" s="1">
        <v>59</v>
      </c>
      <c r="L203" s="13">
        <f>((Data_depth_integrated2[[#This Row],[Depth_of_water_column_to_sediment_layer]]/100)/Data_depth_integrated2[[#This Row],[Total_sampling_time]])</f>
        <v>9.661016949152541E-3</v>
      </c>
      <c r="M203" s="14">
        <v>5.1100000000000003</v>
      </c>
      <c r="N203" s="1" t="s">
        <v>71</v>
      </c>
      <c r="O203" s="13">
        <v>8.09E-2</v>
      </c>
    </row>
    <row r="204" spans="1:15" x14ac:dyDescent="0.3">
      <c r="A204" s="1" t="s">
        <v>863</v>
      </c>
      <c r="B204" s="2" t="str">
        <f>MID(Data_depth_integrated2[[#This Row],[Code_(plot+location+sub_location+sampling_day+HT/LT)]],1,SEARCH("_",Data_depth_integrated2[[#This Row],[Code_(plot+location+sub_location+sampling_day+HT/LT)]])-1)</f>
        <v>8</v>
      </c>
      <c r="C20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4" s="1" t="str">
        <f>MID(Data_depth_integrated2[[#This Row],[Code_(plot+location+sub_location+sampling_day+HT/LT)]],FIND("_Day",Data_depth_integrated2[[#This Row],[Code_(plot+location+sub_location+sampling_day+HT/LT)]])-1,1)</f>
        <v>1</v>
      </c>
      <c r="E20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04" s="3" t="b">
        <v>1</v>
      </c>
      <c r="G204" s="3" t="b">
        <v>0</v>
      </c>
      <c r="H204" s="3" t="b">
        <v>1</v>
      </c>
      <c r="I204" s="1">
        <v>59</v>
      </c>
      <c r="J204" s="1">
        <v>66</v>
      </c>
      <c r="K204" s="1">
        <v>55</v>
      </c>
      <c r="L204" s="13">
        <f>((Data_depth_integrated2[[#This Row],[Depth_of_water_column_to_sediment_layer]]/100)/Data_depth_integrated2[[#This Row],[Total_sampling_time]])</f>
        <v>1.0727272727272726E-2</v>
      </c>
      <c r="M204" s="14">
        <v>5.14</v>
      </c>
      <c r="N204" s="1" t="s">
        <v>44</v>
      </c>
      <c r="O204" s="13">
        <v>3.6099999999999993E-2</v>
      </c>
    </row>
    <row r="205" spans="1:15" x14ac:dyDescent="0.3">
      <c r="A205" s="1" t="s">
        <v>864</v>
      </c>
      <c r="B205" s="2" t="str">
        <f>MID(Data_depth_integrated2[[#This Row],[Code_(plot+location+sub_location+sampling_day+HT/LT)]],1,SEARCH("_",Data_depth_integrated2[[#This Row],[Code_(plot+location+sub_location+sampling_day+HT/LT)]])-1)</f>
        <v>8</v>
      </c>
      <c r="C20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5" s="1" t="str">
        <f>MID(Data_depth_integrated2[[#This Row],[Code_(plot+location+sub_location+sampling_day+HT/LT)]],FIND("_Day",Data_depth_integrated2[[#This Row],[Code_(plot+location+sub_location+sampling_day+HT/LT)]])-1,1)</f>
        <v>1</v>
      </c>
      <c r="E20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05" s="3" t="b">
        <v>0</v>
      </c>
      <c r="G205" s="3" t="b">
        <v>0</v>
      </c>
      <c r="H205" s="3" t="b">
        <v>1</v>
      </c>
      <c r="I205" s="1">
        <v>57</v>
      </c>
      <c r="J205" s="1">
        <v>64</v>
      </c>
      <c r="K205" s="1">
        <v>59</v>
      </c>
      <c r="L205" s="13">
        <f>((Data_depth_integrated2[[#This Row],[Depth_of_water_column_to_sediment_layer]]/100)/Data_depth_integrated2[[#This Row],[Total_sampling_time]])</f>
        <v>9.661016949152541E-3</v>
      </c>
      <c r="M205" s="14">
        <v>5.42</v>
      </c>
      <c r="N205" s="1" t="s">
        <v>278</v>
      </c>
      <c r="O205" s="13">
        <v>4.9600000000000019E-2</v>
      </c>
    </row>
    <row r="206" spans="1:15" x14ac:dyDescent="0.3">
      <c r="A206" s="1" t="s">
        <v>865</v>
      </c>
      <c r="B206" s="2" t="str">
        <f>MID(Data_depth_integrated2[[#This Row],[Code_(plot+location+sub_location+sampling_day+HT/LT)]],1,SEARCH("_",Data_depth_integrated2[[#This Row],[Code_(plot+location+sub_location+sampling_day+HT/LT)]])-1)</f>
        <v>8</v>
      </c>
      <c r="C20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6" s="1" t="str">
        <f>MID(Data_depth_integrated2[[#This Row],[Code_(plot+location+sub_location+sampling_day+HT/LT)]],FIND("_Day",Data_depth_integrated2[[#This Row],[Code_(plot+location+sub_location+sampling_day+HT/LT)]])-1,1)</f>
        <v>1</v>
      </c>
      <c r="E20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06" s="3" t="b">
        <v>1</v>
      </c>
      <c r="G206" s="3" t="b">
        <v>0</v>
      </c>
      <c r="H206" s="3" t="b">
        <v>1</v>
      </c>
      <c r="I206" s="1">
        <v>59</v>
      </c>
      <c r="J206" s="1">
        <v>66</v>
      </c>
      <c r="K206" s="1">
        <v>51</v>
      </c>
      <c r="L206" s="13">
        <f>((Data_depth_integrated2[[#This Row],[Depth_of_water_column_to_sediment_layer]]/100)/Data_depth_integrated2[[#This Row],[Total_sampling_time]])</f>
        <v>1.1568627450980392E-2</v>
      </c>
      <c r="M206" s="14">
        <v>5.59</v>
      </c>
      <c r="N206" s="1" t="s">
        <v>270</v>
      </c>
      <c r="O206" s="13">
        <v>8.8783333333333325E-2</v>
      </c>
    </row>
    <row r="207" spans="1:15" x14ac:dyDescent="0.3">
      <c r="A207" s="1" t="s">
        <v>866</v>
      </c>
      <c r="B207" s="2" t="str">
        <f>MID(Data_depth_integrated2[[#This Row],[Code_(plot+location+sub_location+sampling_day+HT/LT)]],1,SEARCH("_",Data_depth_integrated2[[#This Row],[Code_(plot+location+sub_location+sampling_day+HT/LT)]])-1)</f>
        <v>8</v>
      </c>
      <c r="C20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7" s="1" t="str">
        <f>MID(Data_depth_integrated2[[#This Row],[Code_(plot+location+sub_location+sampling_day+HT/LT)]],FIND("_Day",Data_depth_integrated2[[#This Row],[Code_(plot+location+sub_location+sampling_day+HT/LT)]])-1,1)</f>
        <v>1</v>
      </c>
      <c r="E20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07" s="3" t="b">
        <v>0</v>
      </c>
      <c r="G207" s="3" t="b">
        <v>0</v>
      </c>
      <c r="H207" s="3" t="b">
        <v>1</v>
      </c>
      <c r="I207" s="1">
        <v>57</v>
      </c>
      <c r="J207" s="1">
        <v>64</v>
      </c>
      <c r="K207" s="1">
        <v>54</v>
      </c>
      <c r="L207" s="13">
        <f>((Data_depth_integrated2[[#This Row],[Depth_of_water_column_to_sediment_layer]]/100)/Data_depth_integrated2[[#This Row],[Total_sampling_time]])</f>
        <v>1.0555555555555554E-2</v>
      </c>
      <c r="M207" s="14">
        <v>5.93</v>
      </c>
      <c r="N207" s="1" t="s">
        <v>33</v>
      </c>
      <c r="O207" s="13">
        <v>3.0616666666666681E-2</v>
      </c>
    </row>
    <row r="208" spans="1:15" x14ac:dyDescent="0.3">
      <c r="A208" s="1" t="s">
        <v>185</v>
      </c>
      <c r="B208" s="2" t="str">
        <f>MID(Data_depth_integrated2[[#This Row],[Code_(plot+location+sub_location+sampling_day+HT/LT)]],1,SEARCH("_",Data_depth_integrated2[[#This Row],[Code_(plot+location+sub_location+sampling_day+HT/LT)]])-1)</f>
        <v>8</v>
      </c>
      <c r="C20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8" s="1" t="str">
        <f>MID(Data_depth_integrated2[[#This Row],[Code_(plot+location+sub_location+sampling_day+HT/LT)]],FIND("_Day",Data_depth_integrated2[[#This Row],[Code_(plot+location+sub_location+sampling_day+HT/LT)]])-1,1)</f>
        <v>2</v>
      </c>
      <c r="E20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08" s="3" t="b">
        <v>1</v>
      </c>
      <c r="G208" s="3" t="b">
        <v>0</v>
      </c>
      <c r="H208" s="3" t="b">
        <v>1</v>
      </c>
      <c r="I208" s="1">
        <v>73</v>
      </c>
      <c r="J208" s="1">
        <v>79</v>
      </c>
      <c r="K208" s="1">
        <v>56</v>
      </c>
      <c r="L208" s="13">
        <f>((Data_depth_integrated2[[#This Row],[Depth_of_water_column_to_sediment_layer]]/100)/Data_depth_integrated2[[#This Row],[Total_sampling_time]])</f>
        <v>1.3035714285714286E-2</v>
      </c>
      <c r="M208" s="14">
        <v>5.07</v>
      </c>
      <c r="N208" s="1" t="s">
        <v>369</v>
      </c>
      <c r="O208" s="13">
        <v>3.6099999999999993E-2</v>
      </c>
    </row>
    <row r="209" spans="1:15" x14ac:dyDescent="0.3">
      <c r="A209" s="1" t="s">
        <v>186</v>
      </c>
      <c r="B209" s="2" t="str">
        <f>MID(Data_depth_integrated2[[#This Row],[Code_(plot+location+sub_location+sampling_day+HT/LT)]],1,SEARCH("_",Data_depth_integrated2[[#This Row],[Code_(plot+location+sub_location+sampling_day+HT/LT)]])-1)</f>
        <v>8</v>
      </c>
      <c r="C20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09" s="1" t="str">
        <f>MID(Data_depth_integrated2[[#This Row],[Code_(plot+location+sub_location+sampling_day+HT/LT)]],FIND("_Day",Data_depth_integrated2[[#This Row],[Code_(plot+location+sub_location+sampling_day+HT/LT)]])-1,1)</f>
        <v>2</v>
      </c>
      <c r="E20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09" s="3" t="b">
        <v>0</v>
      </c>
      <c r="G209" s="3" t="b">
        <v>0</v>
      </c>
      <c r="H209" s="3" t="b">
        <v>1</v>
      </c>
      <c r="I209" s="1">
        <v>68</v>
      </c>
      <c r="J209" s="1">
        <v>74</v>
      </c>
      <c r="K209" s="1">
        <v>44</v>
      </c>
      <c r="L209" s="13">
        <f>((Data_depth_integrated2[[#This Row],[Depth_of_water_column_to_sediment_layer]]/100)/Data_depth_integrated2[[#This Row],[Total_sampling_time]])</f>
        <v>1.5454545454545455E-2</v>
      </c>
      <c r="M209" s="14">
        <v>4.9800000000000004</v>
      </c>
      <c r="N209" s="1" t="s">
        <v>80</v>
      </c>
      <c r="O209" s="13">
        <v>6.1350000000000002E-2</v>
      </c>
    </row>
    <row r="210" spans="1:15" x14ac:dyDescent="0.3">
      <c r="A210" s="1" t="s">
        <v>187</v>
      </c>
      <c r="B210" s="2" t="str">
        <f>MID(Data_depth_integrated2[[#This Row],[Code_(plot+location+sub_location+sampling_day+HT/LT)]],1,SEARCH("_",Data_depth_integrated2[[#This Row],[Code_(plot+location+sub_location+sampling_day+HT/LT)]])-1)</f>
        <v>8</v>
      </c>
      <c r="C21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10" s="1" t="str">
        <f>MID(Data_depth_integrated2[[#This Row],[Code_(plot+location+sub_location+sampling_day+HT/LT)]],FIND("_Day",Data_depth_integrated2[[#This Row],[Code_(plot+location+sub_location+sampling_day+HT/LT)]])-1,1)</f>
        <v>2</v>
      </c>
      <c r="E21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10" s="3" t="b">
        <v>1</v>
      </c>
      <c r="G210" s="3" t="b">
        <v>0</v>
      </c>
      <c r="H210" s="3" t="b">
        <v>1</v>
      </c>
      <c r="I210" s="1">
        <v>73</v>
      </c>
      <c r="J210" s="1">
        <v>79</v>
      </c>
      <c r="K210" s="1">
        <v>39</v>
      </c>
      <c r="L210" s="13">
        <f>((Data_depth_integrated2[[#This Row],[Depth_of_water_column_to_sediment_layer]]/100)/Data_depth_integrated2[[#This Row],[Total_sampling_time]])</f>
        <v>1.8717948717948716E-2</v>
      </c>
      <c r="M210" s="14">
        <v>4.7</v>
      </c>
      <c r="N210" s="1" t="s">
        <v>374</v>
      </c>
      <c r="O210" s="13">
        <v>3.8150000000000003E-2</v>
      </c>
    </row>
    <row r="211" spans="1:15" x14ac:dyDescent="0.3">
      <c r="A211" s="1" t="s">
        <v>188</v>
      </c>
      <c r="B211" s="2" t="str">
        <f>MID(Data_depth_integrated2[[#This Row],[Code_(plot+location+sub_location+sampling_day+HT/LT)]],1,SEARCH("_",Data_depth_integrated2[[#This Row],[Code_(plot+location+sub_location+sampling_day+HT/LT)]])-1)</f>
        <v>8</v>
      </c>
      <c r="C21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11" s="1" t="str">
        <f>MID(Data_depth_integrated2[[#This Row],[Code_(plot+location+sub_location+sampling_day+HT/LT)]],FIND("_Day",Data_depth_integrated2[[#This Row],[Code_(plot+location+sub_location+sampling_day+HT/LT)]])-1,1)</f>
        <v>2</v>
      </c>
      <c r="E21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11" s="3" t="b">
        <v>0</v>
      </c>
      <c r="G211" s="3" t="b">
        <v>0</v>
      </c>
      <c r="H211" s="3" t="b">
        <v>1</v>
      </c>
      <c r="I211" s="1">
        <v>68</v>
      </c>
      <c r="J211" s="1">
        <v>74</v>
      </c>
      <c r="K211" s="1">
        <v>58</v>
      </c>
      <c r="L211" s="13">
        <f>((Data_depth_integrated2[[#This Row],[Depth_of_water_column_to_sediment_layer]]/100)/Data_depth_integrated2[[#This Row],[Total_sampling_time]])</f>
        <v>1.1724137931034483E-2</v>
      </c>
      <c r="M211" s="14">
        <v>5.87</v>
      </c>
      <c r="N211" s="1" t="s">
        <v>373</v>
      </c>
      <c r="O211" s="13">
        <v>6.3516666666666666E-2</v>
      </c>
    </row>
    <row r="212" spans="1:15" x14ac:dyDescent="0.3">
      <c r="A212" s="1" t="s">
        <v>189</v>
      </c>
      <c r="B212" s="2" t="str">
        <f>MID(Data_depth_integrated2[[#This Row],[Code_(plot+location+sub_location+sampling_day+HT/LT)]],1,SEARCH("_",Data_depth_integrated2[[#This Row],[Code_(plot+location+sub_location+sampling_day+HT/LT)]])-1)</f>
        <v>8</v>
      </c>
      <c r="C21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12" s="1" t="str">
        <f>MID(Data_depth_integrated2[[#This Row],[Code_(plot+location+sub_location+sampling_day+HT/LT)]],FIND("_Day",Data_depth_integrated2[[#This Row],[Code_(plot+location+sub_location+sampling_day+HT/LT)]])-1,1)</f>
        <v>2</v>
      </c>
      <c r="E21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12" s="3" t="b">
        <v>1</v>
      </c>
      <c r="G212" s="3" t="b">
        <v>0</v>
      </c>
      <c r="H212" s="3" t="b">
        <v>1</v>
      </c>
      <c r="I212" s="1">
        <v>73</v>
      </c>
      <c r="J212" s="1">
        <v>79</v>
      </c>
      <c r="K212" s="1">
        <v>41</v>
      </c>
      <c r="L212" s="13">
        <f>((Data_depth_integrated2[[#This Row],[Depth_of_water_column_to_sediment_layer]]/100)/Data_depth_integrated2[[#This Row],[Total_sampling_time]])</f>
        <v>1.7804878048780486E-2</v>
      </c>
      <c r="M212" s="14">
        <v>5.86</v>
      </c>
      <c r="N212" s="1" t="s">
        <v>89</v>
      </c>
      <c r="O212" s="13">
        <v>7.2149999999999992E-2</v>
      </c>
    </row>
    <row r="213" spans="1:15" x14ac:dyDescent="0.3">
      <c r="A213" s="1" t="s">
        <v>190</v>
      </c>
      <c r="B213" s="2" t="str">
        <f>MID(Data_depth_integrated2[[#This Row],[Code_(plot+location+sub_location+sampling_day+HT/LT)]],1,SEARCH("_",Data_depth_integrated2[[#This Row],[Code_(plot+location+sub_location+sampling_day+HT/LT)]])-1)</f>
        <v>8</v>
      </c>
      <c r="C21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D</v>
      </c>
      <c r="D213" s="1" t="str">
        <f>MID(Data_depth_integrated2[[#This Row],[Code_(plot+location+sub_location+sampling_day+HT/LT)]],FIND("_Day",Data_depth_integrated2[[#This Row],[Code_(plot+location+sub_location+sampling_day+HT/LT)]])-1,1)</f>
        <v>2</v>
      </c>
      <c r="E21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13" s="3" t="b">
        <v>0</v>
      </c>
      <c r="G213" s="3" t="b">
        <v>0</v>
      </c>
      <c r="H213" s="3" t="b">
        <v>1</v>
      </c>
      <c r="I213" s="1">
        <v>68</v>
      </c>
      <c r="J213" s="1">
        <v>74</v>
      </c>
      <c r="K213" s="1">
        <v>50</v>
      </c>
      <c r="L213" s="13">
        <f>((Data_depth_integrated2[[#This Row],[Depth_of_water_column_to_sediment_layer]]/100)/Data_depth_integrated2[[#This Row],[Total_sampling_time]])</f>
        <v>1.3600000000000001E-2</v>
      </c>
      <c r="M213" s="14">
        <v>4.8899999999999997</v>
      </c>
      <c r="N213" s="1" t="s">
        <v>91</v>
      </c>
      <c r="O213" s="13">
        <v>5.6266666666666687E-2</v>
      </c>
    </row>
    <row r="214" spans="1:15" x14ac:dyDescent="0.3">
      <c r="A214" s="1" t="s">
        <v>867</v>
      </c>
      <c r="B214" s="2" t="str">
        <f>MID(Data_depth_integrated2[[#This Row],[Code_(plot+location+sub_location+sampling_day+HT/LT)]],1,SEARCH("_",Data_depth_integrated2[[#This Row],[Code_(plot+location+sub_location+sampling_day+HT/LT)]])-1)</f>
        <v>8</v>
      </c>
      <c r="C21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4" s="1" t="str">
        <f>MID(Data_depth_integrated2[[#This Row],[Code_(plot+location+sub_location+sampling_day+HT/LT)]],FIND("_Day",Data_depth_integrated2[[#This Row],[Code_(plot+location+sub_location+sampling_day+HT/LT)]])-1,1)</f>
        <v>1</v>
      </c>
      <c r="E21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14" s="3" t="b">
        <v>1</v>
      </c>
      <c r="G214" s="3" t="b">
        <v>0</v>
      </c>
      <c r="H214" s="3" t="b">
        <v>1</v>
      </c>
      <c r="I214" s="1">
        <v>27</v>
      </c>
      <c r="J214" s="1">
        <v>31</v>
      </c>
      <c r="K214" s="1">
        <v>60</v>
      </c>
      <c r="L214" s="13">
        <f>((Data_depth_integrated2[[#This Row],[Depth_of_water_column_to_sediment_layer]]/100)/Data_depth_integrated2[[#This Row],[Total_sampling_time]])</f>
        <v>4.5000000000000005E-3</v>
      </c>
      <c r="M214" s="14">
        <v>5.14</v>
      </c>
      <c r="N214" s="1" t="s">
        <v>329</v>
      </c>
      <c r="O214" s="13">
        <v>6.3516666666666666E-2</v>
      </c>
    </row>
    <row r="215" spans="1:15" x14ac:dyDescent="0.3">
      <c r="A215" s="1" t="s">
        <v>868</v>
      </c>
      <c r="B215" s="2" t="str">
        <f>MID(Data_depth_integrated2[[#This Row],[Code_(plot+location+sub_location+sampling_day+HT/LT)]],1,SEARCH("_",Data_depth_integrated2[[#This Row],[Code_(plot+location+sub_location+sampling_day+HT/LT)]])-1)</f>
        <v>8</v>
      </c>
      <c r="C21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5" s="1" t="str">
        <f>MID(Data_depth_integrated2[[#This Row],[Code_(plot+location+sub_location+sampling_day+HT/LT)]],FIND("_Day",Data_depth_integrated2[[#This Row],[Code_(plot+location+sub_location+sampling_day+HT/LT)]])-1,1)</f>
        <v>1</v>
      </c>
      <c r="E21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15" s="3" t="b">
        <v>0</v>
      </c>
      <c r="G215" s="3" t="b">
        <v>0</v>
      </c>
      <c r="H215" s="3" t="b">
        <v>1</v>
      </c>
      <c r="I215" s="1">
        <v>23</v>
      </c>
      <c r="J215" s="1">
        <v>28</v>
      </c>
      <c r="K215" s="1">
        <v>45</v>
      </c>
      <c r="L215" s="13">
        <f>((Data_depth_integrated2[[#This Row],[Depth_of_water_column_to_sediment_layer]]/100)/Data_depth_integrated2[[#This Row],[Total_sampling_time]])</f>
        <v>5.1111111111111114E-3</v>
      </c>
      <c r="M215" s="14">
        <v>4.76</v>
      </c>
      <c r="N215" s="1" t="s">
        <v>60</v>
      </c>
      <c r="O215" s="13">
        <v>0.11679999999999999</v>
      </c>
    </row>
    <row r="216" spans="1:15" x14ac:dyDescent="0.3">
      <c r="A216" s="1" t="s">
        <v>869</v>
      </c>
      <c r="B216" s="2" t="str">
        <f>MID(Data_depth_integrated2[[#This Row],[Code_(plot+location+sub_location+sampling_day+HT/LT)]],1,SEARCH("_",Data_depth_integrated2[[#This Row],[Code_(plot+location+sub_location+sampling_day+HT/LT)]])-1)</f>
        <v>8</v>
      </c>
      <c r="C21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6" s="1" t="str">
        <f>MID(Data_depth_integrated2[[#This Row],[Code_(plot+location+sub_location+sampling_day+HT/LT)]],FIND("_Day",Data_depth_integrated2[[#This Row],[Code_(plot+location+sub_location+sampling_day+HT/LT)]])-1,1)</f>
        <v>1</v>
      </c>
      <c r="E21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16" s="3" t="b">
        <v>1</v>
      </c>
      <c r="G216" s="3" t="b">
        <v>0</v>
      </c>
      <c r="H216" s="3" t="b">
        <v>1</v>
      </c>
      <c r="I216" s="1">
        <v>27</v>
      </c>
      <c r="J216" s="1">
        <v>31</v>
      </c>
      <c r="K216" s="1">
        <v>41</v>
      </c>
      <c r="L216" s="13">
        <f>((Data_depth_integrated2[[#This Row],[Depth_of_water_column_to_sediment_layer]]/100)/Data_depth_integrated2[[#This Row],[Total_sampling_time]])</f>
        <v>6.5853658536585372E-3</v>
      </c>
      <c r="M216" s="14">
        <v>4.7699999999999996</v>
      </c>
      <c r="N216" s="1" t="s">
        <v>112</v>
      </c>
      <c r="O216" s="13">
        <v>2.8650000000000009E-2</v>
      </c>
    </row>
    <row r="217" spans="1:15" x14ac:dyDescent="0.3">
      <c r="A217" s="1" t="s">
        <v>870</v>
      </c>
      <c r="B217" s="2" t="str">
        <f>MID(Data_depth_integrated2[[#This Row],[Code_(plot+location+sub_location+sampling_day+HT/LT)]],1,SEARCH("_",Data_depth_integrated2[[#This Row],[Code_(plot+location+sub_location+sampling_day+HT/LT)]])-1)</f>
        <v>8</v>
      </c>
      <c r="C21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7" s="1" t="str">
        <f>MID(Data_depth_integrated2[[#This Row],[Code_(plot+location+sub_location+sampling_day+HT/LT)]],FIND("_Day",Data_depth_integrated2[[#This Row],[Code_(plot+location+sub_location+sampling_day+HT/LT)]])-1,1)</f>
        <v>1</v>
      </c>
      <c r="E21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17" s="3" t="b">
        <v>0</v>
      </c>
      <c r="G217" s="3" t="b">
        <v>0</v>
      </c>
      <c r="H217" s="3" t="b">
        <v>1</v>
      </c>
      <c r="I217" s="1">
        <v>23</v>
      </c>
      <c r="J217" s="1">
        <v>28</v>
      </c>
      <c r="K217" s="1">
        <v>41</v>
      </c>
      <c r="L217" s="13">
        <f>((Data_depth_integrated2[[#This Row],[Depth_of_water_column_to_sediment_layer]]/100)/Data_depth_integrated2[[#This Row],[Total_sampling_time]])</f>
        <v>5.6097560975609763E-3</v>
      </c>
      <c r="M217" s="14">
        <v>5.16</v>
      </c>
      <c r="N217" s="1" t="s">
        <v>349</v>
      </c>
      <c r="O217" s="13">
        <v>4.9250000000000002E-2</v>
      </c>
    </row>
    <row r="218" spans="1:15" x14ac:dyDescent="0.3">
      <c r="A218" s="1" t="s">
        <v>871</v>
      </c>
      <c r="B218" s="2" t="str">
        <f>MID(Data_depth_integrated2[[#This Row],[Code_(plot+location+sub_location+sampling_day+HT/LT)]],1,SEARCH("_",Data_depth_integrated2[[#This Row],[Code_(plot+location+sub_location+sampling_day+HT/LT)]])-1)</f>
        <v>8</v>
      </c>
      <c r="C21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8" s="1" t="str">
        <f>MID(Data_depth_integrated2[[#This Row],[Code_(plot+location+sub_location+sampling_day+HT/LT)]],FIND("_Day",Data_depth_integrated2[[#This Row],[Code_(plot+location+sub_location+sampling_day+HT/LT)]])-1,1)</f>
        <v>1</v>
      </c>
      <c r="E21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18" s="3" t="b">
        <v>1</v>
      </c>
      <c r="G218" s="3" t="b">
        <v>0</v>
      </c>
      <c r="H218" s="3" t="b">
        <v>1</v>
      </c>
      <c r="I218" s="1">
        <v>27</v>
      </c>
      <c r="J218" s="1">
        <v>31</v>
      </c>
      <c r="K218" s="1">
        <v>54</v>
      </c>
      <c r="L218" s="13">
        <f>((Data_depth_integrated2[[#This Row],[Depth_of_water_column_to_sediment_layer]]/100)/Data_depth_integrated2[[#This Row],[Total_sampling_time]])</f>
        <v>5.0000000000000001E-3</v>
      </c>
      <c r="M218" s="14">
        <v>4.8600000000000003</v>
      </c>
      <c r="N218" s="1" t="s">
        <v>420</v>
      </c>
      <c r="O218" s="13">
        <v>8.8783333333333325E-2</v>
      </c>
    </row>
    <row r="219" spans="1:15" x14ac:dyDescent="0.3">
      <c r="A219" s="1" t="s">
        <v>872</v>
      </c>
      <c r="B219" s="2" t="str">
        <f>MID(Data_depth_integrated2[[#This Row],[Code_(plot+location+sub_location+sampling_day+HT/LT)]],1,SEARCH("_",Data_depth_integrated2[[#This Row],[Code_(plot+location+sub_location+sampling_day+HT/LT)]])-1)</f>
        <v>8</v>
      </c>
      <c r="C21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19" s="1" t="str">
        <f>MID(Data_depth_integrated2[[#This Row],[Code_(plot+location+sub_location+sampling_day+HT/LT)]],FIND("_Day",Data_depth_integrated2[[#This Row],[Code_(plot+location+sub_location+sampling_day+HT/LT)]])-1,1)</f>
        <v>1</v>
      </c>
      <c r="E21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19" s="3" t="b">
        <v>0</v>
      </c>
      <c r="G219" s="3" t="b">
        <v>0</v>
      </c>
      <c r="H219" s="3" t="b">
        <v>1</v>
      </c>
      <c r="I219" s="1">
        <v>23</v>
      </c>
      <c r="J219" s="1">
        <v>28</v>
      </c>
      <c r="K219" s="1">
        <v>40</v>
      </c>
      <c r="L219" s="13">
        <f>((Data_depth_integrated2[[#This Row],[Depth_of_water_column_to_sediment_layer]]/100)/Data_depth_integrated2[[#This Row],[Total_sampling_time]])</f>
        <v>5.7499999999999999E-3</v>
      </c>
      <c r="M219" s="14">
        <v>5.99</v>
      </c>
      <c r="N219" s="1" t="s">
        <v>411</v>
      </c>
      <c r="O219" s="13">
        <v>9.1399999999999981E-2</v>
      </c>
    </row>
    <row r="220" spans="1:15" x14ac:dyDescent="0.3">
      <c r="A220" s="1" t="s">
        <v>191</v>
      </c>
      <c r="B220" s="2" t="str">
        <f>MID(Data_depth_integrated2[[#This Row],[Code_(plot+location+sub_location+sampling_day+HT/LT)]],1,SEARCH("_",Data_depth_integrated2[[#This Row],[Code_(plot+location+sub_location+sampling_day+HT/LT)]])-1)</f>
        <v>8</v>
      </c>
      <c r="C22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0" s="1" t="str">
        <f>MID(Data_depth_integrated2[[#This Row],[Code_(plot+location+sub_location+sampling_day+HT/LT)]],FIND("_Day",Data_depth_integrated2[[#This Row],[Code_(plot+location+sub_location+sampling_day+HT/LT)]])-1,1)</f>
        <v>2</v>
      </c>
      <c r="E22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20" s="3" t="b">
        <v>1</v>
      </c>
      <c r="G220" s="3" t="b">
        <v>0</v>
      </c>
      <c r="H220" s="3" t="b">
        <v>1</v>
      </c>
      <c r="I220" s="1">
        <v>73</v>
      </c>
      <c r="J220" s="1">
        <v>94</v>
      </c>
      <c r="K220" s="1">
        <v>41</v>
      </c>
      <c r="L220" s="13">
        <f>((Data_depth_integrated2[[#This Row],[Depth_of_water_column_to_sediment_layer]]/100)/Data_depth_integrated2[[#This Row],[Total_sampling_time]])</f>
        <v>1.7804878048780486E-2</v>
      </c>
      <c r="M220" s="14">
        <v>5.77</v>
      </c>
      <c r="N220" s="1" t="s">
        <v>436</v>
      </c>
      <c r="O220" s="13">
        <v>9.1500000000000012E-2</v>
      </c>
    </row>
    <row r="221" spans="1:15" x14ac:dyDescent="0.3">
      <c r="A221" s="1" t="s">
        <v>192</v>
      </c>
      <c r="B221" s="2" t="str">
        <f>MID(Data_depth_integrated2[[#This Row],[Code_(plot+location+sub_location+sampling_day+HT/LT)]],1,SEARCH("_",Data_depth_integrated2[[#This Row],[Code_(plot+location+sub_location+sampling_day+HT/LT)]])-1)</f>
        <v>8</v>
      </c>
      <c r="C22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1" s="1" t="str">
        <f>MID(Data_depth_integrated2[[#This Row],[Code_(plot+location+sub_location+sampling_day+HT/LT)]],FIND("_Day",Data_depth_integrated2[[#This Row],[Code_(plot+location+sub_location+sampling_day+HT/LT)]])-1,1)</f>
        <v>2</v>
      </c>
      <c r="E22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21" s="3" t="b">
        <v>0</v>
      </c>
      <c r="G221" s="3" t="b">
        <v>0</v>
      </c>
      <c r="H221" s="3" t="b">
        <v>1</v>
      </c>
      <c r="I221" s="1">
        <v>66</v>
      </c>
      <c r="J221" s="1">
        <v>81</v>
      </c>
      <c r="K221" s="1">
        <v>54</v>
      </c>
      <c r="L221" s="13">
        <f>((Data_depth_integrated2[[#This Row],[Depth_of_water_column_to_sediment_layer]]/100)/Data_depth_integrated2[[#This Row],[Total_sampling_time]])</f>
        <v>1.2222222222222223E-2</v>
      </c>
      <c r="M221" s="14">
        <v>5.12</v>
      </c>
      <c r="N221" s="1" t="s">
        <v>63</v>
      </c>
      <c r="O221" s="13">
        <v>7.5283333333333313E-2</v>
      </c>
    </row>
    <row r="222" spans="1:15" x14ac:dyDescent="0.3">
      <c r="A222" s="1" t="s">
        <v>193</v>
      </c>
      <c r="B222" s="2" t="str">
        <f>MID(Data_depth_integrated2[[#This Row],[Code_(plot+location+sub_location+sampling_day+HT/LT)]],1,SEARCH("_",Data_depth_integrated2[[#This Row],[Code_(plot+location+sub_location+sampling_day+HT/LT)]])-1)</f>
        <v>8</v>
      </c>
      <c r="C22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2" s="1" t="str">
        <f>MID(Data_depth_integrated2[[#This Row],[Code_(plot+location+sub_location+sampling_day+HT/LT)]],FIND("_Day",Data_depth_integrated2[[#This Row],[Code_(plot+location+sub_location+sampling_day+HT/LT)]])-1,1)</f>
        <v>2</v>
      </c>
      <c r="E22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22" s="3" t="b">
        <v>1</v>
      </c>
      <c r="G222" s="3" t="b">
        <v>0</v>
      </c>
      <c r="H222" s="3" t="b">
        <v>1</v>
      </c>
      <c r="I222" s="1">
        <v>73</v>
      </c>
      <c r="J222" s="1">
        <v>94</v>
      </c>
      <c r="K222" s="1">
        <v>45</v>
      </c>
      <c r="L222" s="13">
        <f>((Data_depth_integrated2[[#This Row],[Depth_of_water_column_to_sediment_layer]]/100)/Data_depth_integrated2[[#This Row],[Total_sampling_time]])</f>
        <v>1.6222222222222221E-2</v>
      </c>
      <c r="M222" s="14">
        <v>5.46</v>
      </c>
      <c r="N222" s="1" t="s">
        <v>79</v>
      </c>
      <c r="O222" s="13">
        <v>4.3549999999999978E-2</v>
      </c>
    </row>
    <row r="223" spans="1:15" x14ac:dyDescent="0.3">
      <c r="A223" s="1" t="s">
        <v>194</v>
      </c>
      <c r="B223" s="2" t="str">
        <f>MID(Data_depth_integrated2[[#This Row],[Code_(plot+location+sub_location+sampling_day+HT/LT)]],1,SEARCH("_",Data_depth_integrated2[[#This Row],[Code_(plot+location+sub_location+sampling_day+HT/LT)]])-1)</f>
        <v>8</v>
      </c>
      <c r="C22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3" s="1" t="str">
        <f>MID(Data_depth_integrated2[[#This Row],[Code_(plot+location+sub_location+sampling_day+HT/LT)]],FIND("_Day",Data_depth_integrated2[[#This Row],[Code_(plot+location+sub_location+sampling_day+HT/LT)]])-1,1)</f>
        <v>2</v>
      </c>
      <c r="E22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23" s="3" t="b">
        <v>0</v>
      </c>
      <c r="G223" s="3" t="b">
        <v>0</v>
      </c>
      <c r="H223" s="3" t="b">
        <v>1</v>
      </c>
      <c r="I223" s="1">
        <v>66</v>
      </c>
      <c r="J223" s="1">
        <v>81</v>
      </c>
      <c r="K223" s="1">
        <v>50</v>
      </c>
      <c r="L223" s="13">
        <f>((Data_depth_integrated2[[#This Row],[Depth_of_water_column_to_sediment_layer]]/100)/Data_depth_integrated2[[#This Row],[Total_sampling_time]])</f>
        <v>1.32E-2</v>
      </c>
      <c r="M223" s="14">
        <v>4.97</v>
      </c>
      <c r="N223" s="1" t="s">
        <v>108</v>
      </c>
      <c r="O223" s="13">
        <v>9.4650000000000012E-2</v>
      </c>
    </row>
    <row r="224" spans="1:15" x14ac:dyDescent="0.3">
      <c r="A224" s="1" t="s">
        <v>195</v>
      </c>
      <c r="B224" s="2" t="str">
        <f>MID(Data_depth_integrated2[[#This Row],[Code_(plot+location+sub_location+sampling_day+HT/LT)]],1,SEARCH("_",Data_depth_integrated2[[#This Row],[Code_(plot+location+sub_location+sampling_day+HT/LT)]])-1)</f>
        <v>8</v>
      </c>
      <c r="C22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4" s="1" t="str">
        <f>MID(Data_depth_integrated2[[#This Row],[Code_(plot+location+sub_location+sampling_day+HT/LT)]],FIND("_Day",Data_depth_integrated2[[#This Row],[Code_(plot+location+sub_location+sampling_day+HT/LT)]])-1,1)</f>
        <v>2</v>
      </c>
      <c r="E22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24" s="3" t="b">
        <v>1</v>
      </c>
      <c r="G224" s="3" t="b">
        <v>0</v>
      </c>
      <c r="H224" s="3" t="b">
        <v>1</v>
      </c>
      <c r="I224" s="1">
        <v>73</v>
      </c>
      <c r="J224" s="1">
        <v>94</v>
      </c>
      <c r="K224" s="1">
        <v>41</v>
      </c>
      <c r="L224" s="13">
        <f>((Data_depth_integrated2[[#This Row],[Depth_of_water_column_to_sediment_layer]]/100)/Data_depth_integrated2[[#This Row],[Total_sampling_time]])</f>
        <v>1.7804878048780486E-2</v>
      </c>
      <c r="M224" s="14">
        <v>5.77</v>
      </c>
      <c r="N224" s="1" t="s">
        <v>366</v>
      </c>
      <c r="O224" s="13">
        <v>9.1500000000000012E-2</v>
      </c>
    </row>
    <row r="225" spans="1:15" x14ac:dyDescent="0.3">
      <c r="A225" s="1" t="s">
        <v>196</v>
      </c>
      <c r="B225" s="2" t="str">
        <f>MID(Data_depth_integrated2[[#This Row],[Code_(plot+location+sub_location+sampling_day+HT/LT)]],1,SEARCH("_",Data_depth_integrated2[[#This Row],[Code_(plot+location+sub_location+sampling_day+HT/LT)]])-1)</f>
        <v>8</v>
      </c>
      <c r="C22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E</v>
      </c>
      <c r="D225" s="1" t="str">
        <f>MID(Data_depth_integrated2[[#This Row],[Code_(plot+location+sub_location+sampling_day+HT/LT)]],FIND("_Day",Data_depth_integrated2[[#This Row],[Code_(plot+location+sub_location+sampling_day+HT/LT)]])-1,1)</f>
        <v>2</v>
      </c>
      <c r="E22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25" s="3" t="b">
        <v>0</v>
      </c>
      <c r="G225" s="3" t="b">
        <v>0</v>
      </c>
      <c r="H225" s="3" t="b">
        <v>1</v>
      </c>
      <c r="I225" s="1">
        <v>66</v>
      </c>
      <c r="J225" s="1">
        <v>81</v>
      </c>
      <c r="K225" s="1">
        <v>47</v>
      </c>
      <c r="L225" s="13">
        <f>((Data_depth_integrated2[[#This Row],[Depth_of_water_column_to_sediment_layer]]/100)/Data_depth_integrated2[[#This Row],[Total_sampling_time]])</f>
        <v>1.4042553191489362E-2</v>
      </c>
      <c r="M225" s="14">
        <v>5.33</v>
      </c>
      <c r="N225" s="1" t="s">
        <v>90</v>
      </c>
      <c r="O225" s="13">
        <v>6.0350000000000015E-2</v>
      </c>
    </row>
    <row r="226" spans="1:15" x14ac:dyDescent="0.3">
      <c r="A226" s="1" t="s">
        <v>873</v>
      </c>
      <c r="B226" s="2" t="str">
        <f>MID(Data_depth_integrated2[[#This Row],[Code_(plot+location+sub_location+sampling_day+HT/LT)]],1,SEARCH("_",Data_depth_integrated2[[#This Row],[Code_(plot+location+sub_location+sampling_day+HT/LT)]])-1)</f>
        <v>8</v>
      </c>
      <c r="C22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26" s="1" t="str">
        <f>MID(Data_depth_integrated2[[#This Row],[Code_(plot+location+sub_location+sampling_day+HT/LT)]],FIND("_Day",Data_depth_integrated2[[#This Row],[Code_(plot+location+sub_location+sampling_day+HT/LT)]])-1,1)</f>
        <v>1</v>
      </c>
      <c r="E22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26" s="3" t="b">
        <v>1</v>
      </c>
      <c r="G226" s="3" t="b">
        <v>0</v>
      </c>
      <c r="H226" s="3" t="b">
        <v>1</v>
      </c>
      <c r="I226" s="1">
        <v>59</v>
      </c>
      <c r="J226" s="1">
        <v>66</v>
      </c>
      <c r="K226" s="1">
        <v>48</v>
      </c>
      <c r="L226" s="13">
        <f>((Data_depth_integrated2[[#This Row],[Depth_of_water_column_to_sediment_layer]]/100)/Data_depth_integrated2[[#This Row],[Total_sampling_time]])</f>
        <v>1.2291666666666666E-2</v>
      </c>
      <c r="M226" s="14">
        <v>5.88</v>
      </c>
      <c r="N226" s="1" t="s">
        <v>69</v>
      </c>
      <c r="O226" s="13">
        <v>7.1316666666666681E-2</v>
      </c>
    </row>
    <row r="227" spans="1:15" x14ac:dyDescent="0.3">
      <c r="A227" s="1" t="s">
        <v>874</v>
      </c>
      <c r="B227" s="2" t="str">
        <f>MID(Data_depth_integrated2[[#This Row],[Code_(plot+location+sub_location+sampling_day+HT/LT)]],1,SEARCH("_",Data_depth_integrated2[[#This Row],[Code_(plot+location+sub_location+sampling_day+HT/LT)]])-1)</f>
        <v>8</v>
      </c>
      <c r="C22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27" s="1" t="str">
        <f>MID(Data_depth_integrated2[[#This Row],[Code_(plot+location+sub_location+sampling_day+HT/LT)]],FIND("_Day",Data_depth_integrated2[[#This Row],[Code_(plot+location+sub_location+sampling_day+HT/LT)]])-1,1)</f>
        <v>1</v>
      </c>
      <c r="E22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27" s="3" t="b">
        <v>0</v>
      </c>
      <c r="G227" s="3" t="b">
        <v>0</v>
      </c>
      <c r="H227" s="3" t="b">
        <v>1</v>
      </c>
      <c r="I227" s="1">
        <v>57</v>
      </c>
      <c r="J227" s="1">
        <v>64</v>
      </c>
      <c r="K227" s="1">
        <v>48</v>
      </c>
      <c r="L227" s="13">
        <f>((Data_depth_integrated2[[#This Row],[Depth_of_water_column_to_sediment_layer]]/100)/Data_depth_integrated2[[#This Row],[Total_sampling_time]])</f>
        <v>1.1874999999999998E-2</v>
      </c>
      <c r="M227" s="14">
        <v>5.94</v>
      </c>
      <c r="N227" s="1" t="s">
        <v>431</v>
      </c>
      <c r="O227" s="13">
        <v>3.6099999999999993E-2</v>
      </c>
    </row>
    <row r="228" spans="1:15" x14ac:dyDescent="0.3">
      <c r="A228" s="1" t="s">
        <v>875</v>
      </c>
      <c r="B228" s="2" t="str">
        <f>MID(Data_depth_integrated2[[#This Row],[Code_(plot+location+sub_location+sampling_day+HT/LT)]],1,SEARCH("_",Data_depth_integrated2[[#This Row],[Code_(plot+location+sub_location+sampling_day+HT/LT)]])-1)</f>
        <v>8</v>
      </c>
      <c r="C22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28" s="1" t="str">
        <f>MID(Data_depth_integrated2[[#This Row],[Code_(plot+location+sub_location+sampling_day+HT/LT)]],FIND("_Day",Data_depth_integrated2[[#This Row],[Code_(plot+location+sub_location+sampling_day+HT/LT)]])-1,1)</f>
        <v>1</v>
      </c>
      <c r="E22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28" s="3" t="b">
        <v>1</v>
      </c>
      <c r="G228" s="3" t="b">
        <v>0</v>
      </c>
      <c r="H228" s="3" t="b">
        <v>1</v>
      </c>
      <c r="I228" s="1">
        <v>59</v>
      </c>
      <c r="J228" s="1">
        <v>66</v>
      </c>
      <c r="K228" s="1">
        <v>57</v>
      </c>
      <c r="L228" s="13">
        <f>((Data_depth_integrated2[[#This Row],[Depth_of_water_column_to_sediment_layer]]/100)/Data_depth_integrated2[[#This Row],[Total_sampling_time]])</f>
        <v>1.0350877192982456E-2</v>
      </c>
      <c r="M228" s="14">
        <v>5.0199999999999996</v>
      </c>
      <c r="N228" s="1" t="s">
        <v>26</v>
      </c>
      <c r="O228" s="13">
        <v>7.9999999999999988E-2</v>
      </c>
    </row>
    <row r="229" spans="1:15" x14ac:dyDescent="0.3">
      <c r="A229" s="1" t="s">
        <v>876</v>
      </c>
      <c r="B229" s="2" t="str">
        <f>MID(Data_depth_integrated2[[#This Row],[Code_(plot+location+sub_location+sampling_day+HT/LT)]],1,SEARCH("_",Data_depth_integrated2[[#This Row],[Code_(plot+location+sub_location+sampling_day+HT/LT)]])-1)</f>
        <v>8</v>
      </c>
      <c r="C22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29" s="1" t="str">
        <f>MID(Data_depth_integrated2[[#This Row],[Code_(plot+location+sub_location+sampling_day+HT/LT)]],FIND("_Day",Data_depth_integrated2[[#This Row],[Code_(plot+location+sub_location+sampling_day+HT/LT)]])-1,1)</f>
        <v>1</v>
      </c>
      <c r="E22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29" s="3" t="b">
        <v>0</v>
      </c>
      <c r="G229" s="3" t="b">
        <v>0</v>
      </c>
      <c r="H229" s="3" t="b">
        <v>1</v>
      </c>
      <c r="I229" s="1">
        <v>57</v>
      </c>
      <c r="J229" s="1">
        <v>64</v>
      </c>
      <c r="K229" s="1">
        <v>50</v>
      </c>
      <c r="L229" s="13">
        <f>((Data_depth_integrated2[[#This Row],[Depth_of_water_column_to_sediment_layer]]/100)/Data_depth_integrated2[[#This Row],[Total_sampling_time]])</f>
        <v>1.1399999999999999E-2</v>
      </c>
      <c r="M229" s="14">
        <v>5.45</v>
      </c>
      <c r="N229" s="1" t="s">
        <v>370</v>
      </c>
      <c r="O229" s="13">
        <v>7.8099999999999989E-2</v>
      </c>
    </row>
    <row r="230" spans="1:15" x14ac:dyDescent="0.3">
      <c r="A230" s="1" t="s">
        <v>877</v>
      </c>
      <c r="B230" s="2" t="str">
        <f>MID(Data_depth_integrated2[[#This Row],[Code_(plot+location+sub_location+sampling_day+HT/LT)]],1,SEARCH("_",Data_depth_integrated2[[#This Row],[Code_(plot+location+sub_location+sampling_day+HT/LT)]])-1)</f>
        <v>8</v>
      </c>
      <c r="C23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0" s="1" t="str">
        <f>MID(Data_depth_integrated2[[#This Row],[Code_(plot+location+sub_location+sampling_day+HT/LT)]],FIND("_Day",Data_depth_integrated2[[#This Row],[Code_(plot+location+sub_location+sampling_day+HT/LT)]])-1,1)</f>
        <v>1</v>
      </c>
      <c r="E23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30" s="3" t="b">
        <v>1</v>
      </c>
      <c r="G230" s="3" t="b">
        <v>0</v>
      </c>
      <c r="H230" s="3" t="b">
        <v>1</v>
      </c>
      <c r="I230" s="1">
        <v>59</v>
      </c>
      <c r="J230" s="1">
        <v>66</v>
      </c>
      <c r="K230" s="1">
        <v>50</v>
      </c>
      <c r="L230" s="13">
        <f>((Data_depth_integrated2[[#This Row],[Depth_of_water_column_to_sediment_layer]]/100)/Data_depth_integrated2[[#This Row],[Total_sampling_time]])</f>
        <v>1.18E-2</v>
      </c>
      <c r="M230" s="14">
        <v>5.96</v>
      </c>
      <c r="N230" s="1" t="s">
        <v>289</v>
      </c>
      <c r="O230" s="13">
        <v>6.2000000000000111E-3</v>
      </c>
    </row>
    <row r="231" spans="1:15" x14ac:dyDescent="0.3">
      <c r="A231" s="1" t="s">
        <v>878</v>
      </c>
      <c r="B231" s="2" t="str">
        <f>MID(Data_depth_integrated2[[#This Row],[Code_(plot+location+sub_location+sampling_day+HT/LT)]],1,SEARCH("_",Data_depth_integrated2[[#This Row],[Code_(plot+location+sub_location+sampling_day+HT/LT)]])-1)</f>
        <v>8</v>
      </c>
      <c r="C23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1" s="1" t="str">
        <f>MID(Data_depth_integrated2[[#This Row],[Code_(plot+location+sub_location+sampling_day+HT/LT)]],FIND("_Day",Data_depth_integrated2[[#This Row],[Code_(plot+location+sub_location+sampling_day+HT/LT)]])-1,1)</f>
        <v>1</v>
      </c>
      <c r="E23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31" s="3" t="b">
        <v>0</v>
      </c>
      <c r="G231" s="3" t="b">
        <v>0</v>
      </c>
      <c r="H231" s="3" t="b">
        <v>1</v>
      </c>
      <c r="I231" s="1">
        <v>57</v>
      </c>
      <c r="J231" s="1">
        <v>64</v>
      </c>
      <c r="K231" s="1">
        <v>58</v>
      </c>
      <c r="L231" s="13">
        <f>((Data_depth_integrated2[[#This Row],[Depth_of_water_column_to_sediment_layer]]/100)/Data_depth_integrated2[[#This Row],[Total_sampling_time]])</f>
        <v>9.8275862068965512E-3</v>
      </c>
      <c r="M231" s="14">
        <v>5.8</v>
      </c>
      <c r="N231" s="1" t="s">
        <v>276</v>
      </c>
      <c r="O231" s="13">
        <v>2.5550000000000003E-2</v>
      </c>
    </row>
    <row r="232" spans="1:15" x14ac:dyDescent="0.3">
      <c r="A232" s="1" t="s">
        <v>197</v>
      </c>
      <c r="B232" s="2" t="str">
        <f>MID(Data_depth_integrated2[[#This Row],[Code_(plot+location+sub_location+sampling_day+HT/LT)]],1,SEARCH("_",Data_depth_integrated2[[#This Row],[Code_(plot+location+sub_location+sampling_day+HT/LT)]])-1)</f>
        <v>8</v>
      </c>
      <c r="C23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2" s="1" t="str">
        <f>MID(Data_depth_integrated2[[#This Row],[Code_(plot+location+sub_location+sampling_day+HT/LT)]],FIND("_Day",Data_depth_integrated2[[#This Row],[Code_(plot+location+sub_location+sampling_day+HT/LT)]])-1,1)</f>
        <v>2</v>
      </c>
      <c r="E23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32" s="3" t="b">
        <v>1</v>
      </c>
      <c r="G232" s="3" t="b">
        <v>0</v>
      </c>
      <c r="H232" s="3" t="b">
        <v>1</v>
      </c>
      <c r="I232" s="1">
        <v>76</v>
      </c>
      <c r="J232" s="1">
        <v>80</v>
      </c>
      <c r="K232" s="1">
        <v>60</v>
      </c>
      <c r="L232" s="13">
        <f>((Data_depth_integrated2[[#This Row],[Depth_of_water_column_to_sediment_layer]]/100)/Data_depth_integrated2[[#This Row],[Total_sampling_time]])</f>
        <v>1.2666666666666666E-2</v>
      </c>
      <c r="M232" s="14">
        <v>5.23</v>
      </c>
      <c r="N232" s="1" t="s">
        <v>49</v>
      </c>
      <c r="O232" s="13">
        <v>0.12075</v>
      </c>
    </row>
    <row r="233" spans="1:15" x14ac:dyDescent="0.3">
      <c r="A233" s="1" t="s">
        <v>198</v>
      </c>
      <c r="B233" s="2" t="str">
        <f>MID(Data_depth_integrated2[[#This Row],[Code_(plot+location+sub_location+sampling_day+HT/LT)]],1,SEARCH("_",Data_depth_integrated2[[#This Row],[Code_(plot+location+sub_location+sampling_day+HT/LT)]])-1)</f>
        <v>8</v>
      </c>
      <c r="C23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3" s="1" t="str">
        <f>MID(Data_depth_integrated2[[#This Row],[Code_(plot+location+sub_location+sampling_day+HT/LT)]],FIND("_Day",Data_depth_integrated2[[#This Row],[Code_(plot+location+sub_location+sampling_day+HT/LT)]])-1,1)</f>
        <v>2</v>
      </c>
      <c r="E23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33" s="3" t="b">
        <v>0</v>
      </c>
      <c r="G233" s="3" t="b">
        <v>0</v>
      </c>
      <c r="H233" s="3" t="b">
        <v>1</v>
      </c>
      <c r="I233" s="1">
        <v>71</v>
      </c>
      <c r="J233" s="1">
        <v>78</v>
      </c>
      <c r="K233" s="1">
        <v>46</v>
      </c>
      <c r="L233" s="13">
        <f>((Data_depth_integrated2[[#This Row],[Depth_of_water_column_to_sediment_layer]]/100)/Data_depth_integrated2[[#This Row],[Total_sampling_time]])</f>
        <v>1.5434782608695652E-2</v>
      </c>
      <c r="M233" s="14">
        <v>5.55</v>
      </c>
      <c r="N233" s="1" t="s">
        <v>72</v>
      </c>
      <c r="O233" s="13">
        <v>4.8466666666666686E-2</v>
      </c>
    </row>
    <row r="234" spans="1:15" x14ac:dyDescent="0.3">
      <c r="A234" s="1" t="s">
        <v>199</v>
      </c>
      <c r="B234" s="2" t="str">
        <f>MID(Data_depth_integrated2[[#This Row],[Code_(plot+location+sub_location+sampling_day+HT/LT)]],1,SEARCH("_",Data_depth_integrated2[[#This Row],[Code_(plot+location+sub_location+sampling_day+HT/LT)]])-1)</f>
        <v>8</v>
      </c>
      <c r="C23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4" s="1" t="str">
        <f>MID(Data_depth_integrated2[[#This Row],[Code_(plot+location+sub_location+sampling_day+HT/LT)]],FIND("_Day",Data_depth_integrated2[[#This Row],[Code_(plot+location+sub_location+sampling_day+HT/LT)]])-1,1)</f>
        <v>2</v>
      </c>
      <c r="E23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34" s="3" t="b">
        <v>1</v>
      </c>
      <c r="G234" s="3" t="b">
        <v>0</v>
      </c>
      <c r="H234" s="3" t="b">
        <v>1</v>
      </c>
      <c r="I234" s="1">
        <v>76</v>
      </c>
      <c r="J234" s="1">
        <v>80</v>
      </c>
      <c r="K234" s="1">
        <v>41</v>
      </c>
      <c r="L234" s="13">
        <f>((Data_depth_integrated2[[#This Row],[Depth_of_water_column_to_sediment_layer]]/100)/Data_depth_integrated2[[#This Row],[Total_sampling_time]])</f>
        <v>1.8536585365853658E-2</v>
      </c>
      <c r="M234" s="14">
        <v>5.54</v>
      </c>
      <c r="N234" s="1" t="s">
        <v>387</v>
      </c>
      <c r="O234" s="13">
        <v>9.1500000000000012E-2</v>
      </c>
    </row>
    <row r="235" spans="1:15" x14ac:dyDescent="0.3">
      <c r="A235" s="1" t="s">
        <v>200</v>
      </c>
      <c r="B235" s="2" t="str">
        <f>MID(Data_depth_integrated2[[#This Row],[Code_(plot+location+sub_location+sampling_day+HT/LT)]],1,SEARCH("_",Data_depth_integrated2[[#This Row],[Code_(plot+location+sub_location+sampling_day+HT/LT)]])-1)</f>
        <v>8</v>
      </c>
      <c r="C23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5" s="1" t="str">
        <f>MID(Data_depth_integrated2[[#This Row],[Code_(plot+location+sub_location+sampling_day+HT/LT)]],FIND("_Day",Data_depth_integrated2[[#This Row],[Code_(plot+location+sub_location+sampling_day+HT/LT)]])-1,1)</f>
        <v>2</v>
      </c>
      <c r="E23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35" s="3" t="b">
        <v>0</v>
      </c>
      <c r="G235" s="3" t="b">
        <v>0</v>
      </c>
      <c r="H235" s="3" t="b">
        <v>1</v>
      </c>
      <c r="I235" s="1">
        <v>71</v>
      </c>
      <c r="J235" s="1">
        <v>78</v>
      </c>
      <c r="K235" s="1">
        <v>48</v>
      </c>
      <c r="L235" s="13">
        <f>((Data_depth_integrated2[[#This Row],[Depth_of_water_column_to_sediment_layer]]/100)/Data_depth_integrated2[[#This Row],[Total_sampling_time]])</f>
        <v>1.4791666666666667E-2</v>
      </c>
      <c r="M235" s="14">
        <v>5.65</v>
      </c>
      <c r="N235" s="1" t="s">
        <v>37</v>
      </c>
      <c r="O235" s="13">
        <v>7.4599999999999986E-2</v>
      </c>
    </row>
    <row r="236" spans="1:15" x14ac:dyDescent="0.3">
      <c r="A236" s="1" t="s">
        <v>201</v>
      </c>
      <c r="B236" s="2" t="str">
        <f>MID(Data_depth_integrated2[[#This Row],[Code_(plot+location+sub_location+sampling_day+HT/LT)]],1,SEARCH("_",Data_depth_integrated2[[#This Row],[Code_(plot+location+sub_location+sampling_day+HT/LT)]])-1)</f>
        <v>8</v>
      </c>
      <c r="C23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6" s="1" t="str">
        <f>MID(Data_depth_integrated2[[#This Row],[Code_(plot+location+sub_location+sampling_day+HT/LT)]],FIND("_Day",Data_depth_integrated2[[#This Row],[Code_(plot+location+sub_location+sampling_day+HT/LT)]])-1,1)</f>
        <v>2</v>
      </c>
      <c r="E23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36" s="3" t="b">
        <v>1</v>
      </c>
      <c r="G236" s="3" t="b">
        <v>0</v>
      </c>
      <c r="H236" s="3" t="b">
        <v>1</v>
      </c>
      <c r="I236" s="1">
        <v>76</v>
      </c>
      <c r="J236" s="1">
        <v>80</v>
      </c>
      <c r="K236" s="1">
        <v>51</v>
      </c>
      <c r="L236" s="13">
        <f>((Data_depth_integrated2[[#This Row],[Depth_of_water_column_to_sediment_layer]]/100)/Data_depth_integrated2[[#This Row],[Total_sampling_time]])</f>
        <v>1.4901960784313726E-2</v>
      </c>
      <c r="M236" s="14">
        <v>5.64</v>
      </c>
      <c r="N236" s="1" t="s">
        <v>45</v>
      </c>
      <c r="O236" s="13">
        <v>5.0150000000000014E-2</v>
      </c>
    </row>
    <row r="237" spans="1:15" x14ac:dyDescent="0.3">
      <c r="A237" s="1" t="s">
        <v>202</v>
      </c>
      <c r="B237" s="2" t="str">
        <f>MID(Data_depth_integrated2[[#This Row],[Code_(plot+location+sub_location+sampling_day+HT/LT)]],1,SEARCH("_",Data_depth_integrated2[[#This Row],[Code_(plot+location+sub_location+sampling_day+HT/LT)]])-1)</f>
        <v>8</v>
      </c>
      <c r="C23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</v>
      </c>
      <c r="D237" s="1" t="str">
        <f>MID(Data_depth_integrated2[[#This Row],[Code_(plot+location+sub_location+sampling_day+HT/LT)]],FIND("_Day",Data_depth_integrated2[[#This Row],[Code_(plot+location+sub_location+sampling_day+HT/LT)]])-1,1)</f>
        <v>2</v>
      </c>
      <c r="E23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37" s="3" t="b">
        <v>0</v>
      </c>
      <c r="G237" s="3" t="b">
        <v>0</v>
      </c>
      <c r="H237" s="3" t="b">
        <v>1</v>
      </c>
      <c r="I237" s="1">
        <v>71</v>
      </c>
      <c r="J237" s="1">
        <v>78</v>
      </c>
      <c r="K237" s="1">
        <v>40</v>
      </c>
      <c r="L237" s="13">
        <f>((Data_depth_integrated2[[#This Row],[Depth_of_water_column_to_sediment_layer]]/100)/Data_depth_integrated2[[#This Row],[Total_sampling_time]])</f>
        <v>1.7749999999999998E-2</v>
      </c>
      <c r="M237" s="14">
        <v>6.01</v>
      </c>
      <c r="N237" s="1" t="s">
        <v>84</v>
      </c>
      <c r="O237" s="13">
        <v>4.36E-2</v>
      </c>
    </row>
    <row r="238" spans="1:15" x14ac:dyDescent="0.3">
      <c r="A238" t="s">
        <v>249</v>
      </c>
      <c r="B238" s="2" t="str">
        <f>MID(Data_depth_integrated2[[#This Row],[Code_(plot+location+sub_location+sampling_day+HT/LT)]],1,SEARCH("_",Data_depth_integrated2[[#This Row],[Code_(plot+location+sub_location+sampling_day+HT/LT)]])-1)</f>
        <v>8</v>
      </c>
      <c r="C23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38" s="1" t="str">
        <f>MID(Data_depth_integrated2[[#This Row],[Code_(plot+location+sub_location+sampling_day+HT/LT)]],FIND("_Day",Data_depth_integrated2[[#This Row],[Code_(plot+location+sub_location+sampling_day+HT/LT)]])-1,1)</f>
        <v>2</v>
      </c>
      <c r="E23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38" s="26" t="b">
        <v>1</v>
      </c>
      <c r="G238" s="26" t="b">
        <v>0</v>
      </c>
      <c r="H238" s="26" t="b">
        <v>1</v>
      </c>
      <c r="I238">
        <v>98</v>
      </c>
      <c r="J238">
        <v>129</v>
      </c>
      <c r="K238">
        <v>55</v>
      </c>
      <c r="L238" s="4">
        <f>((Data_depth_integrated2[[#This Row],[Depth_of_water_column_to_sediment_layer]]/100)/Data_depth_integrated2[[#This Row],[Total_sampling_time]])</f>
        <v>1.7818181818181816E-2</v>
      </c>
      <c r="M238" s="15">
        <v>5.17</v>
      </c>
      <c r="N238" t="s">
        <v>419</v>
      </c>
      <c r="O238" s="13">
        <v>9.1500000000000012E-2</v>
      </c>
    </row>
    <row r="239" spans="1:15" x14ac:dyDescent="0.3">
      <c r="A239" t="s">
        <v>471</v>
      </c>
      <c r="B239" s="2" t="str">
        <f>MID(Data_depth_integrated2[[#This Row],[Code_(plot+location+sub_location+sampling_day+HT/LT)]],1,SEARCH("_",Data_depth_integrated2[[#This Row],[Code_(plot+location+sub_location+sampling_day+HT/LT)]])-1)</f>
        <v>8</v>
      </c>
      <c r="C23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39" s="1" t="str">
        <f>MID(Data_depth_integrated2[[#This Row],[Code_(plot+location+sub_location+sampling_day+HT/LT)]],FIND("_Day",Data_depth_integrated2[[#This Row],[Code_(plot+location+sub_location+sampling_day+HT/LT)]])-1,1)</f>
        <v>2</v>
      </c>
      <c r="E23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39" s="26" t="b">
        <v>0</v>
      </c>
      <c r="G239" s="26" t="b">
        <v>0</v>
      </c>
      <c r="H239" s="26" t="b">
        <v>1</v>
      </c>
      <c r="I239">
        <v>92</v>
      </c>
      <c r="J239">
        <v>121</v>
      </c>
      <c r="K239">
        <v>44</v>
      </c>
      <c r="L239" s="4">
        <f>((Data_depth_integrated2[[#This Row],[Depth_of_water_column_to_sediment_layer]]/100)/Data_depth_integrated2[[#This Row],[Total_sampling_time]])</f>
        <v>2.0909090909090908E-2</v>
      </c>
      <c r="M239" s="15">
        <v>5.72</v>
      </c>
      <c r="N239" t="s">
        <v>311</v>
      </c>
      <c r="O239" s="13">
        <v>6.5250000000000002E-2</v>
      </c>
    </row>
    <row r="240" spans="1:15" x14ac:dyDescent="0.3">
      <c r="A240" t="s">
        <v>472</v>
      </c>
      <c r="B240" s="2" t="str">
        <f>MID(Data_depth_integrated2[[#This Row],[Code_(plot+location+sub_location+sampling_day+HT/LT)]],1,SEARCH("_",Data_depth_integrated2[[#This Row],[Code_(plot+location+sub_location+sampling_day+HT/LT)]])-1)</f>
        <v>8</v>
      </c>
      <c r="C24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40" s="1" t="str">
        <f>MID(Data_depth_integrated2[[#This Row],[Code_(plot+location+sub_location+sampling_day+HT/LT)]],FIND("_Day",Data_depth_integrated2[[#This Row],[Code_(plot+location+sub_location+sampling_day+HT/LT)]])-1,1)</f>
        <v>2</v>
      </c>
      <c r="E24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40" s="26" t="b">
        <v>1</v>
      </c>
      <c r="G240" s="26" t="b">
        <v>0</v>
      </c>
      <c r="H240" s="26" t="b">
        <v>1</v>
      </c>
      <c r="I240">
        <v>98</v>
      </c>
      <c r="J240">
        <v>129</v>
      </c>
      <c r="K240">
        <v>51</v>
      </c>
      <c r="L240" s="4">
        <f>((Data_depth_integrated2[[#This Row],[Depth_of_water_column_to_sediment_layer]]/100)/Data_depth_integrated2[[#This Row],[Total_sampling_time]])</f>
        <v>1.9215686274509803E-2</v>
      </c>
      <c r="M240" s="15">
        <v>5.9</v>
      </c>
      <c r="N240" t="s">
        <v>334</v>
      </c>
      <c r="O240" s="13">
        <v>3.6099999999999993E-2</v>
      </c>
    </row>
    <row r="241" spans="1:15" x14ac:dyDescent="0.3">
      <c r="A241" t="s">
        <v>250</v>
      </c>
      <c r="B241" s="2" t="str">
        <f>MID(Data_depth_integrated2[[#This Row],[Code_(plot+location+sub_location+sampling_day+HT/LT)]],1,SEARCH("_",Data_depth_integrated2[[#This Row],[Code_(plot+location+sub_location+sampling_day+HT/LT)]])-1)</f>
        <v>8</v>
      </c>
      <c r="C24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41" s="1" t="str">
        <f>MID(Data_depth_integrated2[[#This Row],[Code_(plot+location+sub_location+sampling_day+HT/LT)]],FIND("_Day",Data_depth_integrated2[[#This Row],[Code_(plot+location+sub_location+sampling_day+HT/LT)]])-1,1)</f>
        <v>2</v>
      </c>
      <c r="E24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41" s="26" t="b">
        <v>0</v>
      </c>
      <c r="G241" s="26" t="b">
        <v>0</v>
      </c>
      <c r="H241" s="26" t="b">
        <v>1</v>
      </c>
      <c r="I241">
        <v>92</v>
      </c>
      <c r="J241">
        <v>121</v>
      </c>
      <c r="K241">
        <v>51</v>
      </c>
      <c r="L241" s="4">
        <f>((Data_depth_integrated2[[#This Row],[Depth_of_water_column_to_sediment_layer]]/100)/Data_depth_integrated2[[#This Row],[Total_sampling_time]])</f>
        <v>1.803921568627451E-2</v>
      </c>
      <c r="M241" s="15">
        <v>5.05</v>
      </c>
      <c r="N241" t="s">
        <v>94</v>
      </c>
      <c r="O241" s="13">
        <v>2.5550000000000003E-2</v>
      </c>
    </row>
    <row r="242" spans="1:15" x14ac:dyDescent="0.3">
      <c r="A242" t="s">
        <v>251</v>
      </c>
      <c r="B242" s="2" t="str">
        <f>MID(Data_depth_integrated2[[#This Row],[Code_(plot+location+sub_location+sampling_day+HT/LT)]],1,SEARCH("_",Data_depth_integrated2[[#This Row],[Code_(plot+location+sub_location+sampling_day+HT/LT)]])-1)</f>
        <v>8</v>
      </c>
      <c r="C24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42" s="1" t="str">
        <f>MID(Data_depth_integrated2[[#This Row],[Code_(plot+location+sub_location+sampling_day+HT/LT)]],FIND("_Day",Data_depth_integrated2[[#This Row],[Code_(plot+location+sub_location+sampling_day+HT/LT)]])-1,1)</f>
        <v>2</v>
      </c>
      <c r="E24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42" s="26" t="b">
        <v>1</v>
      </c>
      <c r="G242" s="26" t="b">
        <v>0</v>
      </c>
      <c r="H242" s="26" t="b">
        <v>1</v>
      </c>
      <c r="I242">
        <v>98</v>
      </c>
      <c r="J242">
        <v>129</v>
      </c>
      <c r="K242">
        <v>50</v>
      </c>
      <c r="L242" s="4">
        <f>((Data_depth_integrated2[[#This Row],[Depth_of_water_column_to_sediment_layer]]/100)/Data_depth_integrated2[[#This Row],[Total_sampling_time]])</f>
        <v>1.9599999999999999E-2</v>
      </c>
      <c r="M242" s="15">
        <v>5.5</v>
      </c>
      <c r="N242" t="s">
        <v>433</v>
      </c>
      <c r="O242" s="13">
        <v>5.2350000000000008E-2</v>
      </c>
    </row>
    <row r="243" spans="1:15" x14ac:dyDescent="0.3">
      <c r="A243" t="s">
        <v>252</v>
      </c>
      <c r="B243" s="2" t="str">
        <f>MID(Data_depth_integrated2[[#This Row],[Code_(plot+location+sub_location+sampling_day+HT/LT)]],1,SEARCH("_",Data_depth_integrated2[[#This Row],[Code_(plot+location+sub_location+sampling_day+HT/LT)]])-1)</f>
        <v>8</v>
      </c>
      <c r="C24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F_across</v>
      </c>
      <c r="D243" s="1" t="str">
        <f>MID(Data_depth_integrated2[[#This Row],[Code_(plot+location+sub_location+sampling_day+HT/LT)]],FIND("_Day",Data_depth_integrated2[[#This Row],[Code_(plot+location+sub_location+sampling_day+HT/LT)]])-1,1)</f>
        <v>2</v>
      </c>
      <c r="E24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43" s="26" t="b">
        <v>0</v>
      </c>
      <c r="G243" s="26" t="b">
        <v>0</v>
      </c>
      <c r="H243" s="26" t="b">
        <v>1</v>
      </c>
      <c r="I243">
        <v>92</v>
      </c>
      <c r="J243">
        <v>121</v>
      </c>
      <c r="K243">
        <v>51</v>
      </c>
      <c r="L243" s="4">
        <f>((Data_depth_integrated2[[#This Row],[Depth_of_water_column_to_sediment_layer]]/100)/Data_depth_integrated2[[#This Row],[Total_sampling_time]])</f>
        <v>1.803921568627451E-2</v>
      </c>
      <c r="M243" s="15">
        <v>5.53</v>
      </c>
      <c r="N243" t="s">
        <v>92</v>
      </c>
      <c r="O243" s="13">
        <v>4.7549999999999995E-2</v>
      </c>
    </row>
    <row r="244" spans="1:15" x14ac:dyDescent="0.3">
      <c r="A244" s="1" t="s">
        <v>879</v>
      </c>
      <c r="B244" s="2" t="str">
        <f>MID(Data_depth_integrated2[[#This Row],[Code_(plot+location+sub_location+sampling_day+HT/LT)]],1,SEARCH("_",Data_depth_integrated2[[#This Row],[Code_(plot+location+sub_location+sampling_day+HT/LT)]])-1)</f>
        <v>8</v>
      </c>
      <c r="C24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4" s="1" t="str">
        <f>MID(Data_depth_integrated2[[#This Row],[Code_(plot+location+sub_location+sampling_day+HT/LT)]],FIND("_Day",Data_depth_integrated2[[#This Row],[Code_(plot+location+sub_location+sampling_day+HT/LT)]])-1,1)</f>
        <v>1</v>
      </c>
      <c r="E24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44" s="3" t="b">
        <v>1</v>
      </c>
      <c r="G244" s="3" t="b">
        <v>0</v>
      </c>
      <c r="H244" s="3" t="b">
        <v>1</v>
      </c>
      <c r="I244" s="1">
        <v>66</v>
      </c>
      <c r="J244" s="1">
        <v>67</v>
      </c>
      <c r="K244" s="1">
        <v>49</v>
      </c>
      <c r="L244" s="13">
        <f>((Data_depth_integrated2[[#This Row],[Depth_of_water_column_to_sediment_layer]]/100)/Data_depth_integrated2[[#This Row],[Total_sampling_time]])</f>
        <v>1.3469387755102041E-2</v>
      </c>
      <c r="M244" s="14">
        <v>4.8499999999999996</v>
      </c>
      <c r="N244" s="1" t="s">
        <v>380</v>
      </c>
      <c r="O244" s="13">
        <v>0.3777833333333333</v>
      </c>
    </row>
    <row r="245" spans="1:15" x14ac:dyDescent="0.3">
      <c r="A245" s="1" t="s">
        <v>880</v>
      </c>
      <c r="B245" s="2" t="str">
        <f>MID(Data_depth_integrated2[[#This Row],[Code_(plot+location+sub_location+sampling_day+HT/LT)]],1,SEARCH("_",Data_depth_integrated2[[#This Row],[Code_(plot+location+sub_location+sampling_day+HT/LT)]])-1)</f>
        <v>8</v>
      </c>
      <c r="C24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5" s="1" t="str">
        <f>MID(Data_depth_integrated2[[#This Row],[Code_(plot+location+sub_location+sampling_day+HT/LT)]],FIND("_Day",Data_depth_integrated2[[#This Row],[Code_(plot+location+sub_location+sampling_day+HT/LT)]])-1,1)</f>
        <v>1</v>
      </c>
      <c r="E24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45" s="3" t="b">
        <v>0</v>
      </c>
      <c r="G245" s="3" t="b">
        <v>0</v>
      </c>
      <c r="H245" s="3" t="b">
        <v>1</v>
      </c>
      <c r="I245" s="1">
        <v>59</v>
      </c>
      <c r="J245" s="1">
        <v>59</v>
      </c>
      <c r="K245" s="1">
        <v>50</v>
      </c>
      <c r="L245" s="13">
        <f>((Data_depth_integrated2[[#This Row],[Depth_of_water_column_to_sediment_layer]]/100)/Data_depth_integrated2[[#This Row],[Total_sampling_time]])</f>
        <v>1.18E-2</v>
      </c>
      <c r="M245" s="14">
        <v>5.42</v>
      </c>
      <c r="N245" s="1" t="s">
        <v>70</v>
      </c>
      <c r="O245" s="13">
        <v>0.40799999999999997</v>
      </c>
    </row>
    <row r="246" spans="1:15" x14ac:dyDescent="0.3">
      <c r="A246" s="1" t="s">
        <v>881</v>
      </c>
      <c r="B246" s="2" t="str">
        <f>MID(Data_depth_integrated2[[#This Row],[Code_(plot+location+sub_location+sampling_day+HT/LT)]],1,SEARCH("_",Data_depth_integrated2[[#This Row],[Code_(plot+location+sub_location+sampling_day+HT/LT)]])-1)</f>
        <v>8</v>
      </c>
      <c r="C24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6" s="1" t="str">
        <f>MID(Data_depth_integrated2[[#This Row],[Code_(plot+location+sub_location+sampling_day+HT/LT)]],FIND("_Day",Data_depth_integrated2[[#This Row],[Code_(plot+location+sub_location+sampling_day+HT/LT)]])-1,1)</f>
        <v>1</v>
      </c>
      <c r="E24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46" s="3" t="b">
        <v>1</v>
      </c>
      <c r="G246" s="3" t="b">
        <v>0</v>
      </c>
      <c r="H246" s="3" t="b">
        <v>1</v>
      </c>
      <c r="I246" s="1">
        <v>66</v>
      </c>
      <c r="J246" s="1">
        <v>67</v>
      </c>
      <c r="K246" s="1">
        <v>59</v>
      </c>
      <c r="L246" s="13">
        <f>((Data_depth_integrated2[[#This Row],[Depth_of_water_column_to_sediment_layer]]/100)/Data_depth_integrated2[[#This Row],[Total_sampling_time]])</f>
        <v>1.1186440677966102E-2</v>
      </c>
      <c r="M246" s="14">
        <v>5.0599999999999996</v>
      </c>
      <c r="N246" s="1" t="s">
        <v>24</v>
      </c>
      <c r="O246" s="13">
        <v>5.4949999999999999E-2</v>
      </c>
    </row>
    <row r="247" spans="1:15" x14ac:dyDescent="0.3">
      <c r="A247" s="1" t="s">
        <v>882</v>
      </c>
      <c r="B247" s="2" t="str">
        <f>MID(Data_depth_integrated2[[#This Row],[Code_(plot+location+sub_location+sampling_day+HT/LT)]],1,SEARCH("_",Data_depth_integrated2[[#This Row],[Code_(plot+location+sub_location+sampling_day+HT/LT)]])-1)</f>
        <v>8</v>
      </c>
      <c r="C24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7" s="1" t="str">
        <f>MID(Data_depth_integrated2[[#This Row],[Code_(plot+location+sub_location+sampling_day+HT/LT)]],FIND("_Day",Data_depth_integrated2[[#This Row],[Code_(plot+location+sub_location+sampling_day+HT/LT)]])-1,1)</f>
        <v>1</v>
      </c>
      <c r="E24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47" s="3" t="b">
        <v>0</v>
      </c>
      <c r="G247" s="3" t="b">
        <v>0</v>
      </c>
      <c r="H247" s="3" t="b">
        <v>1</v>
      </c>
      <c r="I247" s="1">
        <v>59</v>
      </c>
      <c r="J247" s="1">
        <v>59</v>
      </c>
      <c r="K247" s="1">
        <v>57</v>
      </c>
      <c r="L247" s="13">
        <f>((Data_depth_integrated2[[#This Row],[Depth_of_water_column_to_sediment_layer]]/100)/Data_depth_integrated2[[#This Row],[Total_sampling_time]])</f>
        <v>1.0350877192982456E-2</v>
      </c>
      <c r="M247" s="14">
        <v>4.74</v>
      </c>
      <c r="N247" s="1" t="s">
        <v>299</v>
      </c>
      <c r="O247" s="13">
        <v>0.77116666666666678</v>
      </c>
    </row>
    <row r="248" spans="1:15" x14ac:dyDescent="0.3">
      <c r="A248" s="1" t="s">
        <v>883</v>
      </c>
      <c r="B248" s="2" t="str">
        <f>MID(Data_depth_integrated2[[#This Row],[Code_(plot+location+sub_location+sampling_day+HT/LT)]],1,SEARCH("_",Data_depth_integrated2[[#This Row],[Code_(plot+location+sub_location+sampling_day+HT/LT)]])-1)</f>
        <v>8</v>
      </c>
      <c r="C24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8" s="1" t="str">
        <f>MID(Data_depth_integrated2[[#This Row],[Code_(plot+location+sub_location+sampling_day+HT/LT)]],FIND("_Day",Data_depth_integrated2[[#This Row],[Code_(plot+location+sub_location+sampling_day+HT/LT)]])-1,1)</f>
        <v>1</v>
      </c>
      <c r="E24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48" s="3" t="b">
        <v>1</v>
      </c>
      <c r="G248" s="3" t="b">
        <v>0</v>
      </c>
      <c r="H248" s="3" t="b">
        <v>1</v>
      </c>
      <c r="I248" s="1">
        <v>66</v>
      </c>
      <c r="J248" s="1">
        <v>67</v>
      </c>
      <c r="K248" s="1">
        <v>44</v>
      </c>
      <c r="L248" s="13">
        <f>((Data_depth_integrated2[[#This Row],[Depth_of_water_column_to_sediment_layer]]/100)/Data_depth_integrated2[[#This Row],[Total_sampling_time]])</f>
        <v>1.5000000000000001E-2</v>
      </c>
      <c r="M248" s="14">
        <v>5.08</v>
      </c>
      <c r="N248" s="1" t="s">
        <v>331</v>
      </c>
      <c r="O248" s="13">
        <v>3.9916666666666684E-2</v>
      </c>
    </row>
    <row r="249" spans="1:15" x14ac:dyDescent="0.3">
      <c r="A249" s="1" t="s">
        <v>884</v>
      </c>
      <c r="B249" s="2" t="str">
        <f>MID(Data_depth_integrated2[[#This Row],[Code_(plot+location+sub_location+sampling_day+HT/LT)]],1,SEARCH("_",Data_depth_integrated2[[#This Row],[Code_(plot+location+sub_location+sampling_day+HT/LT)]])-1)</f>
        <v>8</v>
      </c>
      <c r="C24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49" s="1" t="str">
        <f>MID(Data_depth_integrated2[[#This Row],[Code_(plot+location+sub_location+sampling_day+HT/LT)]],FIND("_Day",Data_depth_integrated2[[#This Row],[Code_(plot+location+sub_location+sampling_day+HT/LT)]])-1,1)</f>
        <v>1</v>
      </c>
      <c r="E24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49" s="3" t="b">
        <v>0</v>
      </c>
      <c r="G249" s="3" t="b">
        <v>0</v>
      </c>
      <c r="H249" s="3" t="b">
        <v>1</v>
      </c>
      <c r="I249" s="1">
        <v>59</v>
      </c>
      <c r="J249" s="1">
        <v>59</v>
      </c>
      <c r="K249" s="1">
        <v>48</v>
      </c>
      <c r="L249" s="13">
        <f>((Data_depth_integrated2[[#This Row],[Depth_of_water_column_to_sediment_layer]]/100)/Data_depth_integrated2[[#This Row],[Total_sampling_time]])</f>
        <v>1.2291666666666666E-2</v>
      </c>
      <c r="M249" s="14">
        <v>4.7</v>
      </c>
      <c r="N249" s="1" t="s">
        <v>346</v>
      </c>
      <c r="O249" s="13">
        <v>4.3900000000000008E-2</v>
      </c>
    </row>
    <row r="250" spans="1:15" x14ac:dyDescent="0.3">
      <c r="A250" s="1" t="s">
        <v>203</v>
      </c>
      <c r="B250" s="2" t="str">
        <f>MID(Data_depth_integrated2[[#This Row],[Code_(plot+location+sub_location+sampling_day+HT/LT)]],1,SEARCH("_",Data_depth_integrated2[[#This Row],[Code_(plot+location+sub_location+sampling_day+HT/LT)]])-1)</f>
        <v>8</v>
      </c>
      <c r="C25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0" s="1" t="str">
        <f>MID(Data_depth_integrated2[[#This Row],[Code_(plot+location+sub_location+sampling_day+HT/LT)]],FIND("_Day",Data_depth_integrated2[[#This Row],[Code_(plot+location+sub_location+sampling_day+HT/LT)]])-1,1)</f>
        <v>2</v>
      </c>
      <c r="E25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50" s="3" t="b">
        <v>1</v>
      </c>
      <c r="G250" s="3" t="b">
        <v>0</v>
      </c>
      <c r="H250" s="3" t="b">
        <v>1</v>
      </c>
      <c r="I250" s="1">
        <v>63</v>
      </c>
      <c r="J250" s="1">
        <v>66</v>
      </c>
      <c r="K250" s="1">
        <v>40</v>
      </c>
      <c r="L250" s="13">
        <f>((Data_depth_integrated2[[#This Row],[Depth_of_water_column_to_sediment_layer]]/100)/Data_depth_integrated2[[#This Row],[Total_sampling_time]])</f>
        <v>1.575E-2</v>
      </c>
      <c r="M250" s="14">
        <v>5.27</v>
      </c>
      <c r="N250" s="1" t="s">
        <v>73</v>
      </c>
      <c r="O250" s="13">
        <v>7.1650000000000005E-2</v>
      </c>
    </row>
    <row r="251" spans="1:15" x14ac:dyDescent="0.3">
      <c r="A251" s="1" t="s">
        <v>204</v>
      </c>
      <c r="B251" s="2" t="str">
        <f>MID(Data_depth_integrated2[[#This Row],[Code_(plot+location+sub_location+sampling_day+HT/LT)]],1,SEARCH("_",Data_depth_integrated2[[#This Row],[Code_(plot+location+sub_location+sampling_day+HT/LT)]])-1)</f>
        <v>8</v>
      </c>
      <c r="C25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1" s="1" t="str">
        <f>MID(Data_depth_integrated2[[#This Row],[Code_(plot+location+sub_location+sampling_day+HT/LT)]],FIND("_Day",Data_depth_integrated2[[#This Row],[Code_(plot+location+sub_location+sampling_day+HT/LT)]])-1,1)</f>
        <v>2</v>
      </c>
      <c r="E25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51" s="3" t="b">
        <v>0</v>
      </c>
      <c r="G251" s="3" t="b">
        <v>0</v>
      </c>
      <c r="H251" s="3" t="b">
        <v>1</v>
      </c>
      <c r="I251" s="1">
        <v>59</v>
      </c>
      <c r="J251" s="1">
        <v>59</v>
      </c>
      <c r="K251" s="1">
        <v>44</v>
      </c>
      <c r="L251" s="13">
        <f>((Data_depth_integrated2[[#This Row],[Depth_of_water_column_to_sediment_layer]]/100)/Data_depth_integrated2[[#This Row],[Total_sampling_time]])</f>
        <v>1.3409090909090909E-2</v>
      </c>
      <c r="M251" s="14">
        <v>5.4</v>
      </c>
      <c r="N251" s="1" t="s">
        <v>241</v>
      </c>
      <c r="O251" s="13">
        <v>9.8633333333333337E-2</v>
      </c>
    </row>
    <row r="252" spans="1:15" x14ac:dyDescent="0.3">
      <c r="A252" s="1" t="s">
        <v>205</v>
      </c>
      <c r="B252" s="2" t="str">
        <f>MID(Data_depth_integrated2[[#This Row],[Code_(plot+location+sub_location+sampling_day+HT/LT)]],1,SEARCH("_",Data_depth_integrated2[[#This Row],[Code_(plot+location+sub_location+sampling_day+HT/LT)]])-1)</f>
        <v>8</v>
      </c>
      <c r="C25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2" s="1" t="str">
        <f>MID(Data_depth_integrated2[[#This Row],[Code_(plot+location+sub_location+sampling_day+HT/LT)]],FIND("_Day",Data_depth_integrated2[[#This Row],[Code_(plot+location+sub_location+sampling_day+HT/LT)]])-1,1)</f>
        <v>2</v>
      </c>
      <c r="E25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52" s="3" t="b">
        <v>1</v>
      </c>
      <c r="G252" s="3" t="b">
        <v>0</v>
      </c>
      <c r="H252" s="3" t="b">
        <v>1</v>
      </c>
      <c r="I252" s="1">
        <v>63</v>
      </c>
      <c r="J252" s="1">
        <v>66</v>
      </c>
      <c r="K252" s="1">
        <v>47</v>
      </c>
      <c r="L252" s="13">
        <f>((Data_depth_integrated2[[#This Row],[Depth_of_water_column_to_sediment_layer]]/100)/Data_depth_integrated2[[#This Row],[Total_sampling_time]])</f>
        <v>1.3404255319148937E-2</v>
      </c>
      <c r="M252" s="14">
        <v>5.33</v>
      </c>
      <c r="N252" s="1" t="s">
        <v>277</v>
      </c>
      <c r="O252" s="13">
        <v>8.8783333333333325E-2</v>
      </c>
    </row>
    <row r="253" spans="1:15" x14ac:dyDescent="0.3">
      <c r="A253" s="1" t="s">
        <v>206</v>
      </c>
      <c r="B253" s="2" t="str">
        <f>MID(Data_depth_integrated2[[#This Row],[Code_(plot+location+sub_location+sampling_day+HT/LT)]],1,SEARCH("_",Data_depth_integrated2[[#This Row],[Code_(plot+location+sub_location+sampling_day+HT/LT)]])-1)</f>
        <v>8</v>
      </c>
      <c r="C25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3" s="1" t="str">
        <f>MID(Data_depth_integrated2[[#This Row],[Code_(plot+location+sub_location+sampling_day+HT/LT)]],FIND("_Day",Data_depth_integrated2[[#This Row],[Code_(plot+location+sub_location+sampling_day+HT/LT)]])-1,1)</f>
        <v>2</v>
      </c>
      <c r="E25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53" s="3" t="b">
        <v>0</v>
      </c>
      <c r="G253" s="3" t="b">
        <v>0</v>
      </c>
      <c r="H253" s="3" t="b">
        <v>1</v>
      </c>
      <c r="I253" s="1">
        <v>59</v>
      </c>
      <c r="J253" s="1">
        <v>59</v>
      </c>
      <c r="K253" s="1">
        <v>53</v>
      </c>
      <c r="L253" s="13">
        <f>((Data_depth_integrated2[[#This Row],[Depth_of_water_column_to_sediment_layer]]/100)/Data_depth_integrated2[[#This Row],[Total_sampling_time]])</f>
        <v>1.1132075471698113E-2</v>
      </c>
      <c r="M253" s="14">
        <v>5.87</v>
      </c>
      <c r="N253" s="1" t="s">
        <v>38</v>
      </c>
      <c r="O253" s="13">
        <v>4.7533333333333316E-2</v>
      </c>
    </row>
    <row r="254" spans="1:15" x14ac:dyDescent="0.3">
      <c r="A254" s="1" t="s">
        <v>207</v>
      </c>
      <c r="B254" s="2" t="str">
        <f>MID(Data_depth_integrated2[[#This Row],[Code_(plot+location+sub_location+sampling_day+HT/LT)]],1,SEARCH("_",Data_depth_integrated2[[#This Row],[Code_(plot+location+sub_location+sampling_day+HT/LT)]])-1)</f>
        <v>8</v>
      </c>
      <c r="C25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4" s="1" t="str">
        <f>MID(Data_depth_integrated2[[#This Row],[Code_(plot+location+sub_location+sampling_day+HT/LT)]],FIND("_Day",Data_depth_integrated2[[#This Row],[Code_(plot+location+sub_location+sampling_day+HT/LT)]])-1,1)</f>
        <v>2</v>
      </c>
      <c r="E25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54" s="3" t="b">
        <v>1</v>
      </c>
      <c r="G254" s="3" t="b">
        <v>0</v>
      </c>
      <c r="H254" s="3" t="b">
        <v>1</v>
      </c>
      <c r="I254" s="1">
        <v>63</v>
      </c>
      <c r="J254" s="1">
        <v>66</v>
      </c>
      <c r="K254" s="1">
        <v>51</v>
      </c>
      <c r="L254" s="13">
        <f>((Data_depth_integrated2[[#This Row],[Depth_of_water_column_to_sediment_layer]]/100)/Data_depth_integrated2[[#This Row],[Total_sampling_time]])</f>
        <v>1.2352941176470589E-2</v>
      </c>
      <c r="M254" s="14">
        <v>4.88</v>
      </c>
      <c r="N254" s="1" t="s">
        <v>100</v>
      </c>
      <c r="O254" s="13">
        <v>1.0450000000000001E-2</v>
      </c>
    </row>
    <row r="255" spans="1:15" x14ac:dyDescent="0.3">
      <c r="A255" s="1" t="s">
        <v>208</v>
      </c>
      <c r="B255" s="2" t="str">
        <f>MID(Data_depth_integrated2[[#This Row],[Code_(plot+location+sub_location+sampling_day+HT/LT)]],1,SEARCH("_",Data_depth_integrated2[[#This Row],[Code_(plot+location+sub_location+sampling_day+HT/LT)]])-1)</f>
        <v>8</v>
      </c>
      <c r="C25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G</v>
      </c>
      <c r="D255" s="1" t="str">
        <f>MID(Data_depth_integrated2[[#This Row],[Code_(plot+location+sub_location+sampling_day+HT/LT)]],FIND("_Day",Data_depth_integrated2[[#This Row],[Code_(plot+location+sub_location+sampling_day+HT/LT)]])-1,1)</f>
        <v>2</v>
      </c>
      <c r="E25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55" s="3" t="b">
        <v>0</v>
      </c>
      <c r="G255" s="3" t="b">
        <v>0</v>
      </c>
      <c r="H255" s="3" t="b">
        <v>1</v>
      </c>
      <c r="I255" s="1">
        <v>59</v>
      </c>
      <c r="J255" s="1">
        <v>59</v>
      </c>
      <c r="K255" s="1">
        <v>49</v>
      </c>
      <c r="L255" s="13">
        <f>((Data_depth_integrated2[[#This Row],[Depth_of_water_column_to_sediment_layer]]/100)/Data_depth_integrated2[[#This Row],[Total_sampling_time]])</f>
        <v>1.2040816326530611E-2</v>
      </c>
      <c r="M255" s="14">
        <v>4.91</v>
      </c>
      <c r="N255" s="1" t="s">
        <v>101</v>
      </c>
      <c r="O255" s="13">
        <v>8.7633333333333341E-2</v>
      </c>
    </row>
    <row r="256" spans="1:15" x14ac:dyDescent="0.3">
      <c r="A256" s="1" t="s">
        <v>885</v>
      </c>
      <c r="B256" s="2" t="str">
        <f>MID(Data_depth_integrated2[[#This Row],[Code_(plot+location+sub_location+sampling_day+HT/LT)]],1,SEARCH("_",Data_depth_integrated2[[#This Row],[Code_(plot+location+sub_location+sampling_day+HT/LT)]])-1)</f>
        <v>8</v>
      </c>
      <c r="C25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56" s="1" t="str">
        <f>MID(Data_depth_integrated2[[#This Row],[Code_(plot+location+sub_location+sampling_day+HT/LT)]],FIND("_Day",Data_depth_integrated2[[#This Row],[Code_(plot+location+sub_location+sampling_day+HT/LT)]])-1,1)</f>
        <v>1</v>
      </c>
      <c r="E25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56" s="3" t="b">
        <v>1</v>
      </c>
      <c r="G256" s="3" t="b">
        <v>0</v>
      </c>
      <c r="H256" s="3" t="b">
        <v>1</v>
      </c>
      <c r="I256" s="1">
        <v>66</v>
      </c>
      <c r="J256" s="1">
        <v>71</v>
      </c>
      <c r="K256" s="1">
        <v>59</v>
      </c>
      <c r="L256" s="13">
        <f>((Data_depth_integrated2[[#This Row],[Depth_of_water_column_to_sediment_layer]]/100)/Data_depth_integrated2[[#This Row],[Total_sampling_time]])</f>
        <v>1.1186440677966102E-2</v>
      </c>
      <c r="M256" s="14">
        <v>5.7</v>
      </c>
      <c r="N256" s="1" t="s">
        <v>395</v>
      </c>
      <c r="O256" s="13">
        <v>4.9600000000000019E-2</v>
      </c>
    </row>
    <row r="257" spans="1:15" x14ac:dyDescent="0.3">
      <c r="A257" s="1" t="s">
        <v>886</v>
      </c>
      <c r="B257" s="2" t="str">
        <f>MID(Data_depth_integrated2[[#This Row],[Code_(plot+location+sub_location+sampling_day+HT/LT)]],1,SEARCH("_",Data_depth_integrated2[[#This Row],[Code_(plot+location+sub_location+sampling_day+HT/LT)]])-1)</f>
        <v>8</v>
      </c>
      <c r="C25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57" s="1" t="str">
        <f>MID(Data_depth_integrated2[[#This Row],[Code_(plot+location+sub_location+sampling_day+HT/LT)]],FIND("_Day",Data_depth_integrated2[[#This Row],[Code_(plot+location+sub_location+sampling_day+HT/LT)]])-1,1)</f>
        <v>1</v>
      </c>
      <c r="E25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57" s="3" t="b">
        <v>0</v>
      </c>
      <c r="G257" s="3" t="b">
        <v>0</v>
      </c>
      <c r="H257" s="3" t="b">
        <v>1</v>
      </c>
      <c r="I257" s="1">
        <v>59</v>
      </c>
      <c r="J257" s="1">
        <v>63</v>
      </c>
      <c r="K257" s="1">
        <v>50</v>
      </c>
      <c r="L257" s="13">
        <f>((Data_depth_integrated2[[#This Row],[Depth_of_water_column_to_sediment_layer]]/100)/Data_depth_integrated2[[#This Row],[Total_sampling_time]])</f>
        <v>1.18E-2</v>
      </c>
      <c r="M257" s="14">
        <v>5.81</v>
      </c>
      <c r="N257" s="1" t="s">
        <v>67</v>
      </c>
      <c r="O257" s="13">
        <v>6.1100000000000029E-2</v>
      </c>
    </row>
    <row r="258" spans="1:15" x14ac:dyDescent="0.3">
      <c r="A258" s="1" t="s">
        <v>887</v>
      </c>
      <c r="B258" s="2" t="str">
        <f>MID(Data_depth_integrated2[[#This Row],[Code_(plot+location+sub_location+sampling_day+HT/LT)]],1,SEARCH("_",Data_depth_integrated2[[#This Row],[Code_(plot+location+sub_location+sampling_day+HT/LT)]])-1)</f>
        <v>8</v>
      </c>
      <c r="C258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58" s="1" t="str">
        <f>MID(Data_depth_integrated2[[#This Row],[Code_(plot+location+sub_location+sampling_day+HT/LT)]],FIND("_Day",Data_depth_integrated2[[#This Row],[Code_(plot+location+sub_location+sampling_day+HT/LT)]])-1,1)</f>
        <v>1</v>
      </c>
      <c r="E258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58" s="3" t="b">
        <v>1</v>
      </c>
      <c r="G258" s="3" t="b">
        <v>0</v>
      </c>
      <c r="H258" s="3" t="b">
        <v>1</v>
      </c>
      <c r="I258" s="1">
        <v>66</v>
      </c>
      <c r="J258" s="1">
        <v>71</v>
      </c>
      <c r="K258" s="1">
        <v>49</v>
      </c>
      <c r="L258" s="13">
        <f>((Data_depth_integrated2[[#This Row],[Depth_of_water_column_to_sediment_layer]]/100)/Data_depth_integrated2[[#This Row],[Total_sampling_time]])</f>
        <v>1.3469387755102041E-2</v>
      </c>
      <c r="M258" s="14">
        <v>5.52</v>
      </c>
      <c r="N258" s="1" t="s">
        <v>348</v>
      </c>
      <c r="O258" s="13">
        <v>5.2350000000000008E-2</v>
      </c>
    </row>
    <row r="259" spans="1:15" x14ac:dyDescent="0.3">
      <c r="A259" s="1" t="s">
        <v>888</v>
      </c>
      <c r="B259" s="2" t="str">
        <f>MID(Data_depth_integrated2[[#This Row],[Code_(plot+location+sub_location+sampling_day+HT/LT)]],1,SEARCH("_",Data_depth_integrated2[[#This Row],[Code_(plot+location+sub_location+sampling_day+HT/LT)]])-1)</f>
        <v>8</v>
      </c>
      <c r="C259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59" s="1" t="str">
        <f>MID(Data_depth_integrated2[[#This Row],[Code_(plot+location+sub_location+sampling_day+HT/LT)]],FIND("_Day",Data_depth_integrated2[[#This Row],[Code_(plot+location+sub_location+sampling_day+HT/LT)]])-1,1)</f>
        <v>1</v>
      </c>
      <c r="E259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59" s="3" t="b">
        <v>0</v>
      </c>
      <c r="G259" s="3" t="b">
        <v>0</v>
      </c>
      <c r="H259" s="3" t="b">
        <v>1</v>
      </c>
      <c r="I259" s="1">
        <v>59</v>
      </c>
      <c r="J259" s="1">
        <v>63</v>
      </c>
      <c r="K259" s="1">
        <v>59</v>
      </c>
      <c r="L259" s="13">
        <f>((Data_depth_integrated2[[#This Row],[Depth_of_water_column_to_sediment_layer]]/100)/Data_depth_integrated2[[#This Row],[Total_sampling_time]])</f>
        <v>0.01</v>
      </c>
      <c r="M259" s="14">
        <v>5.49</v>
      </c>
      <c r="N259" s="1" t="s">
        <v>21</v>
      </c>
      <c r="O259" s="13">
        <v>8.1649999999999986E-2</v>
      </c>
    </row>
    <row r="260" spans="1:15" x14ac:dyDescent="0.3">
      <c r="A260" s="1" t="s">
        <v>889</v>
      </c>
      <c r="B260" s="2" t="str">
        <f>MID(Data_depth_integrated2[[#This Row],[Code_(plot+location+sub_location+sampling_day+HT/LT)]],1,SEARCH("_",Data_depth_integrated2[[#This Row],[Code_(plot+location+sub_location+sampling_day+HT/LT)]])-1)</f>
        <v>8</v>
      </c>
      <c r="C260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0" s="1" t="str">
        <f>MID(Data_depth_integrated2[[#This Row],[Code_(plot+location+sub_location+sampling_day+HT/LT)]],FIND("_Day",Data_depth_integrated2[[#This Row],[Code_(plot+location+sub_location+sampling_day+HT/LT)]])-1,1)</f>
        <v>1</v>
      </c>
      <c r="E260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60" s="3" t="b">
        <v>1</v>
      </c>
      <c r="G260" s="3" t="b">
        <v>0</v>
      </c>
      <c r="H260" s="3" t="b">
        <v>1</v>
      </c>
      <c r="I260" s="1">
        <v>66</v>
      </c>
      <c r="J260" s="1">
        <v>71</v>
      </c>
      <c r="K260" s="1">
        <v>39</v>
      </c>
      <c r="L260" s="13">
        <f>((Data_depth_integrated2[[#This Row],[Depth_of_water_column_to_sediment_layer]]/100)/Data_depth_integrated2[[#This Row],[Total_sampling_time]])</f>
        <v>1.6923076923076923E-2</v>
      </c>
      <c r="M260" s="14">
        <v>5.91</v>
      </c>
      <c r="N260" s="1" t="s">
        <v>292</v>
      </c>
      <c r="O260" s="13">
        <v>1.1650000000000008E-2</v>
      </c>
    </row>
    <row r="261" spans="1:15" x14ac:dyDescent="0.3">
      <c r="A261" s="1" t="s">
        <v>890</v>
      </c>
      <c r="B261" s="2" t="str">
        <f>MID(Data_depth_integrated2[[#This Row],[Code_(plot+location+sub_location+sampling_day+HT/LT)]],1,SEARCH("_",Data_depth_integrated2[[#This Row],[Code_(plot+location+sub_location+sampling_day+HT/LT)]])-1)</f>
        <v>8</v>
      </c>
      <c r="C261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1" s="1" t="str">
        <f>MID(Data_depth_integrated2[[#This Row],[Code_(plot+location+sub_location+sampling_day+HT/LT)]],FIND("_Day",Data_depth_integrated2[[#This Row],[Code_(plot+location+sub_location+sampling_day+HT/LT)]])-1,1)</f>
        <v>1</v>
      </c>
      <c r="E261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61" s="3" t="b">
        <v>0</v>
      </c>
      <c r="G261" s="3" t="b">
        <v>0</v>
      </c>
      <c r="H261" s="3" t="b">
        <v>1</v>
      </c>
      <c r="I261" s="1">
        <v>59</v>
      </c>
      <c r="J261" s="1">
        <v>63</v>
      </c>
      <c r="K261" s="1">
        <v>42</v>
      </c>
      <c r="L261" s="13">
        <f>((Data_depth_integrated2[[#This Row],[Depth_of_water_column_to_sediment_layer]]/100)/Data_depth_integrated2[[#This Row],[Total_sampling_time]])</f>
        <v>1.4047619047619047E-2</v>
      </c>
      <c r="M261" s="14">
        <v>5.98</v>
      </c>
      <c r="N261" s="1" t="s">
        <v>287</v>
      </c>
      <c r="O261" s="13">
        <v>5.7849999999999999E-2</v>
      </c>
    </row>
    <row r="262" spans="1:15" x14ac:dyDescent="0.3">
      <c r="A262" s="1" t="s">
        <v>209</v>
      </c>
      <c r="B262" s="2" t="str">
        <f>MID(Data_depth_integrated2[[#This Row],[Code_(plot+location+sub_location+sampling_day+HT/LT)]],1,SEARCH("_",Data_depth_integrated2[[#This Row],[Code_(plot+location+sub_location+sampling_day+HT/LT)]])-1)</f>
        <v>8</v>
      </c>
      <c r="C262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2" s="1" t="str">
        <f>MID(Data_depth_integrated2[[#This Row],[Code_(plot+location+sub_location+sampling_day+HT/LT)]],FIND("_Day",Data_depth_integrated2[[#This Row],[Code_(plot+location+sub_location+sampling_day+HT/LT)]])-1,1)</f>
        <v>2</v>
      </c>
      <c r="E262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62" s="3" t="b">
        <v>1</v>
      </c>
      <c r="G262" s="3" t="b">
        <v>0</v>
      </c>
      <c r="H262" s="3" t="b">
        <v>1</v>
      </c>
      <c r="I262" s="1">
        <v>65</v>
      </c>
      <c r="J262" s="1">
        <v>73</v>
      </c>
      <c r="K262" s="1">
        <v>57</v>
      </c>
      <c r="L262" s="13">
        <f>((Data_depth_integrated2[[#This Row],[Depth_of_water_column_to_sediment_layer]]/100)/Data_depth_integrated2[[#This Row],[Total_sampling_time]])</f>
        <v>1.1403508771929825E-2</v>
      </c>
      <c r="M262" s="14">
        <v>5.87</v>
      </c>
      <c r="N262" s="1" t="s">
        <v>330</v>
      </c>
      <c r="O262" s="13">
        <v>3.8150000000000003E-2</v>
      </c>
    </row>
    <row r="263" spans="1:15" x14ac:dyDescent="0.3">
      <c r="A263" s="1" t="s">
        <v>210</v>
      </c>
      <c r="B263" s="2" t="str">
        <f>MID(Data_depth_integrated2[[#This Row],[Code_(plot+location+sub_location+sampling_day+HT/LT)]],1,SEARCH("_",Data_depth_integrated2[[#This Row],[Code_(plot+location+sub_location+sampling_day+HT/LT)]])-1)</f>
        <v>8</v>
      </c>
      <c r="C263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3" s="1" t="str">
        <f>MID(Data_depth_integrated2[[#This Row],[Code_(plot+location+sub_location+sampling_day+HT/LT)]],FIND("_Day",Data_depth_integrated2[[#This Row],[Code_(plot+location+sub_location+sampling_day+HT/LT)]])-1,1)</f>
        <v>2</v>
      </c>
      <c r="E263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Day_1</v>
      </c>
      <c r="F263" s="3" t="b">
        <v>0</v>
      </c>
      <c r="G263" s="3" t="b">
        <v>0</v>
      </c>
      <c r="H263" s="3" t="b">
        <v>1</v>
      </c>
      <c r="I263" s="1">
        <v>57</v>
      </c>
      <c r="J263" s="1">
        <v>68</v>
      </c>
      <c r="K263" s="1">
        <v>55</v>
      </c>
      <c r="L263" s="13">
        <f>((Data_depth_integrated2[[#This Row],[Depth_of_water_column_to_sediment_layer]]/100)/Data_depth_integrated2[[#This Row],[Total_sampling_time]])</f>
        <v>1.0363636363636363E-2</v>
      </c>
      <c r="M263" s="14">
        <v>5.31</v>
      </c>
      <c r="N263" s="1" t="s">
        <v>66</v>
      </c>
      <c r="O263" s="13">
        <v>6.7899999999999988E-2</v>
      </c>
    </row>
    <row r="264" spans="1:15" x14ac:dyDescent="0.3">
      <c r="A264" s="1" t="s">
        <v>211</v>
      </c>
      <c r="B264" s="2" t="str">
        <f>MID(Data_depth_integrated2[[#This Row],[Code_(plot+location+sub_location+sampling_day+HT/LT)]],1,SEARCH("_",Data_depth_integrated2[[#This Row],[Code_(plot+location+sub_location+sampling_day+HT/LT)]])-1)</f>
        <v>8</v>
      </c>
      <c r="C264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4" s="1" t="str">
        <f>MID(Data_depth_integrated2[[#This Row],[Code_(plot+location+sub_location+sampling_day+HT/LT)]],FIND("_Day",Data_depth_integrated2[[#This Row],[Code_(plot+location+sub_location+sampling_day+HT/LT)]])-1,1)</f>
        <v>2</v>
      </c>
      <c r="E264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64" s="3" t="b">
        <v>1</v>
      </c>
      <c r="G264" s="3" t="b">
        <v>0</v>
      </c>
      <c r="H264" s="3" t="b">
        <v>1</v>
      </c>
      <c r="I264" s="1">
        <v>65</v>
      </c>
      <c r="J264" s="1">
        <v>73</v>
      </c>
      <c r="K264" s="1">
        <v>52</v>
      </c>
      <c r="L264" s="13">
        <f>((Data_depth_integrated2[[#This Row],[Depth_of_water_column_to_sediment_layer]]/100)/Data_depth_integrated2[[#This Row],[Total_sampling_time]])</f>
        <v>1.2500000000000001E-2</v>
      </c>
      <c r="M264" s="14">
        <v>6</v>
      </c>
      <c r="N264" s="1" t="s">
        <v>25</v>
      </c>
      <c r="O264" s="13">
        <v>8.6350000000000024E-2</v>
      </c>
    </row>
    <row r="265" spans="1:15" x14ac:dyDescent="0.3">
      <c r="A265" s="1" t="s">
        <v>212</v>
      </c>
      <c r="B265" s="2" t="str">
        <f>MID(Data_depth_integrated2[[#This Row],[Code_(plot+location+sub_location+sampling_day+HT/LT)]],1,SEARCH("_",Data_depth_integrated2[[#This Row],[Code_(plot+location+sub_location+sampling_day+HT/LT)]])-1)</f>
        <v>8</v>
      </c>
      <c r="C265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5" s="1" t="str">
        <f>MID(Data_depth_integrated2[[#This Row],[Code_(plot+location+sub_location+sampling_day+HT/LT)]],FIND("_Day",Data_depth_integrated2[[#This Row],[Code_(plot+location+sub_location+sampling_day+HT/LT)]])-1,1)</f>
        <v>2</v>
      </c>
      <c r="E265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Day_2</v>
      </c>
      <c r="F265" s="3" t="b">
        <v>0</v>
      </c>
      <c r="G265" s="3" t="b">
        <v>0</v>
      </c>
      <c r="H265" s="3" t="b">
        <v>1</v>
      </c>
      <c r="I265" s="1">
        <v>57</v>
      </c>
      <c r="J265" s="1">
        <v>68</v>
      </c>
      <c r="K265" s="1">
        <v>54</v>
      </c>
      <c r="L265" s="13">
        <f>((Data_depth_integrated2[[#This Row],[Depth_of_water_column_to_sediment_layer]]/100)/Data_depth_integrated2[[#This Row],[Total_sampling_time]])</f>
        <v>1.0555555555555554E-2</v>
      </c>
      <c r="M265" s="14">
        <v>5.79</v>
      </c>
      <c r="N265" s="1" t="s">
        <v>310</v>
      </c>
      <c r="O265" s="13">
        <v>5.5700000000000013E-2</v>
      </c>
    </row>
    <row r="266" spans="1:15" x14ac:dyDescent="0.3">
      <c r="A266" s="1" t="s">
        <v>213</v>
      </c>
      <c r="B266" s="2" t="str">
        <f>MID(Data_depth_integrated2[[#This Row],[Code_(plot+location+sub_location+sampling_day+HT/LT)]],1,SEARCH("_",Data_depth_integrated2[[#This Row],[Code_(plot+location+sub_location+sampling_day+HT/LT)]])-1)</f>
        <v>8</v>
      </c>
      <c r="C266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6" s="1" t="str">
        <f>MID(Data_depth_integrated2[[#This Row],[Code_(plot+location+sub_location+sampling_day+HT/LT)]],FIND("_Day",Data_depth_integrated2[[#This Row],[Code_(plot+location+sub_location+sampling_day+HT/LT)]])-1,1)</f>
        <v>2</v>
      </c>
      <c r="E266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66" s="3" t="b">
        <v>1</v>
      </c>
      <c r="G266" s="3" t="b">
        <v>0</v>
      </c>
      <c r="H266" s="3" t="b">
        <v>1</v>
      </c>
      <c r="I266" s="1">
        <v>65</v>
      </c>
      <c r="J266" s="1">
        <v>73</v>
      </c>
      <c r="K266" s="1">
        <v>60</v>
      </c>
      <c r="L266" s="13">
        <f>((Data_depth_integrated2[[#This Row],[Depth_of_water_column_to_sediment_layer]]/100)/Data_depth_integrated2[[#This Row],[Total_sampling_time]])</f>
        <v>1.0833333333333334E-2</v>
      </c>
      <c r="M266" s="14">
        <v>6.01</v>
      </c>
      <c r="N266" s="1" t="s">
        <v>87</v>
      </c>
      <c r="O266" s="13">
        <v>4.2649999999999993E-2</v>
      </c>
    </row>
    <row r="267" spans="1:15" x14ac:dyDescent="0.3">
      <c r="A267" s="1" t="s">
        <v>214</v>
      </c>
      <c r="B267" s="2" t="str">
        <f>MID(Data_depth_integrated2[[#This Row],[Code_(plot+location+sub_location+sampling_day+HT/LT)]],1,SEARCH("_",Data_depth_integrated2[[#This Row],[Code_(plot+location+sub_location+sampling_day+HT/LT)]])-1)</f>
        <v>8</v>
      </c>
      <c r="C267" s="1" t="str">
        <f>_xlfn.LET(
    _xlpm.code, Data_depth_integrated2[[#This Row],[Code_(plot+location+sub_location+sampling_day+HT/LT)]],
    _xlpm.first_underscore, FIND("_",_xlpm.code),
    _xlpm.day_position, FIND("_Day",_xlpm.code),
    _xlpm.last_part, MID(_xlpm.code, _xlpm.first_underscore+1, _xlpm.day_position-_xlpm.first_underscore-1),
    _xlpm.last_underscore, FIND("_",_xlpm.last_part &amp; "_",LEN(_xlpm.last_part)-2),
    IF(_xlpm.last_underscore&gt;LEN(_xlpm.last_part),
       _xlpm.last_part,
       LEFT(_xlpm.last_part,_xlpm.last_underscore-1))
)</f>
        <v>H</v>
      </c>
      <c r="D267" s="1" t="str">
        <f>MID(Data_depth_integrated2[[#This Row],[Code_(plot+location+sub_location+sampling_day+HT/LT)]],FIND("_Day",Data_depth_integrated2[[#This Row],[Code_(plot+location+sub_location+sampling_day+HT/LT)]])-1,1)</f>
        <v>2</v>
      </c>
      <c r="E267" s="1" t="str">
        <f>_xlfn.LET(
  _xlpm.parts, _xlfn.TEXTSPLIT(Data_depth_integrated2[[#This Row],[Code_(plot+location+sub_location+sampling_day+HT/LT)]], "_"),
  _xlpm.count, COUNTA(_xlpm.parts),
  _xlfn.TEXTJOIN("_",, INDEX(_xlpm.parts, _xlpm.count - 2), INDEX(_xlpm.parts, _xlpm.count - 1))
)</f>
        <v>Day_3</v>
      </c>
      <c r="F267" s="3" t="b">
        <v>0</v>
      </c>
      <c r="G267" s="3" t="b">
        <v>0</v>
      </c>
      <c r="H267" s="3" t="b">
        <v>1</v>
      </c>
      <c r="I267" s="1">
        <v>57</v>
      </c>
      <c r="J267" s="1">
        <v>68</v>
      </c>
      <c r="K267" s="1">
        <v>43</v>
      </c>
      <c r="L267" s="13">
        <f>((Data_depth_integrated2[[#This Row],[Depth_of_water_column_to_sediment_layer]]/100)/Data_depth_integrated2[[#This Row],[Total_sampling_time]])</f>
        <v>1.3255813953488372E-2</v>
      </c>
      <c r="M267" s="14">
        <v>4.82</v>
      </c>
      <c r="N267" s="1" t="s">
        <v>103</v>
      </c>
      <c r="O267" s="13">
        <v>7.1999999999999981E-3</v>
      </c>
    </row>
    <row r="269" spans="1:15" ht="43.2" x14ac:dyDescent="0.3">
      <c r="G269" s="1" t="s">
        <v>18</v>
      </c>
      <c r="H269" s="1">
        <f>COUNTIF(H4:H267,TRUE)</f>
        <v>264</v>
      </c>
    </row>
  </sheetData>
  <phoneticPr fontId="1" type="noConversion"/>
  <conditionalFormatting sqref="A4:N267">
    <cfRule type="expression" dxfId="17" priority="1">
      <formula>IF($A$1&lt;&gt;"",SEARCH($A$1,$A4),"")</formula>
    </cfRule>
  </conditionalFormatting>
  <dataValidations disablePrompts="1" count="2">
    <dataValidation type="list" allowBlank="1" showInputMessage="1" showErrorMessage="1" sqref="B268:F1048576" xr:uid="{0A1CCC41-F825-4A77-BD81-2FAB844BE6D0}">
      <formula1>"Day_1,Day_2,Day_3"</formula1>
    </dataValidation>
    <dataValidation type="custom" allowBlank="1" showInputMessage="1" showErrorMessage="1" sqref="N4:N267" xr:uid="{88CFDE54-BC0B-4B54-8956-1633DE3554D9}">
      <formula1>COUNTIF($N$4:$N$267, N4) = 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1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1143000</xdr:colOff>
                <xdr:row>1</xdr:row>
                <xdr:rowOff>106680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489E-A37A-477F-8967-38B591B98DBC}">
  <dimension ref="A1:Z39"/>
  <sheetViews>
    <sheetView topLeftCell="A3" workbookViewId="0">
      <selection activeCell="B6" sqref="B6"/>
    </sheetView>
  </sheetViews>
  <sheetFormatPr defaultRowHeight="14.4" x14ac:dyDescent="0.3"/>
  <cols>
    <col min="1" max="1" width="31" style="1" customWidth="1"/>
    <col min="2" max="2" width="48.33203125" style="1" customWidth="1"/>
    <col min="3" max="16384" width="8.88671875" style="1"/>
  </cols>
  <sheetData>
    <row r="1" spans="1:26" ht="36.6" thickBot="1" x14ac:dyDescent="0.35">
      <c r="A1" s="18" t="s">
        <v>685</v>
      </c>
      <c r="B1" s="18" t="s">
        <v>684</v>
      </c>
      <c r="C1" s="19" t="s">
        <v>672</v>
      </c>
      <c r="D1" s="19" t="s">
        <v>673</v>
      </c>
      <c r="E1" s="19" t="s">
        <v>674</v>
      </c>
      <c r="F1" s="19" t="s">
        <v>675</v>
      </c>
      <c r="G1" s="19" t="s">
        <v>676</v>
      </c>
      <c r="H1" s="19" t="s">
        <v>677</v>
      </c>
      <c r="I1" s="19" t="s">
        <v>678</v>
      </c>
      <c r="J1" s="19" t="s">
        <v>679</v>
      </c>
      <c r="K1" s="19" t="s">
        <v>680</v>
      </c>
      <c r="L1" s="19" t="s">
        <v>681</v>
      </c>
      <c r="M1" s="19" t="s">
        <v>682</v>
      </c>
      <c r="N1" s="19" t="s">
        <v>683</v>
      </c>
      <c r="O1" s="1" t="s">
        <v>521</v>
      </c>
      <c r="P1" s="1" t="s">
        <v>522</v>
      </c>
      <c r="Q1" s="1" t="s">
        <v>534</v>
      </c>
      <c r="R1" s="1" t="s">
        <v>535</v>
      </c>
      <c r="S1" s="1" t="s">
        <v>536</v>
      </c>
      <c r="T1" s="1" t="s">
        <v>537</v>
      </c>
      <c r="U1" s="1" t="s">
        <v>523</v>
      </c>
      <c r="V1" s="1" t="s">
        <v>538</v>
      </c>
      <c r="W1" s="1" t="s">
        <v>539</v>
      </c>
      <c r="X1" s="1" t="s">
        <v>576</v>
      </c>
      <c r="Y1" s="1" t="s">
        <v>577</v>
      </c>
      <c r="Z1" s="1" t="s">
        <v>578</v>
      </c>
    </row>
    <row r="2" spans="1:26" x14ac:dyDescent="0.3">
      <c r="A2" s="1" t="s">
        <v>474</v>
      </c>
      <c r="B2" s="1" t="s">
        <v>623</v>
      </c>
      <c r="C2" s="1">
        <v>132</v>
      </c>
      <c r="D2" s="13">
        <v>7.8390909090909081E-2</v>
      </c>
      <c r="E2" s="13">
        <v>5.2350000000000008E-2</v>
      </c>
      <c r="F2" s="13">
        <v>2.0499999999999963E-3</v>
      </c>
      <c r="G2" s="13">
        <v>0.77116666666666678</v>
      </c>
      <c r="H2" s="13">
        <v>0.76911666666666678</v>
      </c>
      <c r="I2" s="13">
        <v>9.6408031965683927E-2</v>
      </c>
      <c r="J2" s="13">
        <v>6.1791030557004738E-2</v>
      </c>
      <c r="K2" s="13">
        <v>9.4990787624813416E-2</v>
      </c>
      <c r="L2" s="13">
        <v>3.9737500000000009E-2</v>
      </c>
      <c r="M2" s="13">
        <v>8.6958333333333346E-2</v>
      </c>
      <c r="N2" s="13">
        <v>4.7220833333333337E-2</v>
      </c>
      <c r="O2" s="1">
        <v>132</v>
      </c>
      <c r="P2" s="1">
        <v>5.3075757575757585</v>
      </c>
      <c r="Q2" s="1">
        <v>5.2649999999999997</v>
      </c>
      <c r="R2" s="1">
        <v>4.7</v>
      </c>
      <c r="S2" s="1">
        <v>6.01</v>
      </c>
      <c r="T2" s="1">
        <v>1.3099999999999996</v>
      </c>
      <c r="U2" s="1">
        <v>0.39020472452471217</v>
      </c>
      <c r="V2" s="1">
        <v>5.2403889174505354</v>
      </c>
      <c r="W2" s="1">
        <v>5.3747625977009816</v>
      </c>
      <c r="X2" s="1">
        <v>4.9800000000000004</v>
      </c>
      <c r="Y2" s="1">
        <v>5.6624999999999996</v>
      </c>
      <c r="Z2" s="1">
        <v>0.68249999999999922</v>
      </c>
    </row>
    <row r="3" spans="1:26" x14ac:dyDescent="0.3">
      <c r="A3" s="1" t="s">
        <v>475</v>
      </c>
      <c r="B3" s="1" t="s">
        <v>624</v>
      </c>
      <c r="C3" s="1">
        <v>132</v>
      </c>
      <c r="D3" s="13">
        <v>9.3829545454545443E-2</v>
      </c>
      <c r="E3" s="13">
        <v>5.7225000000000012E-2</v>
      </c>
      <c r="F3" s="13">
        <v>2.0499999999999963E-3</v>
      </c>
      <c r="G3" s="13">
        <v>0.77116666666666678</v>
      </c>
      <c r="H3" s="13">
        <v>0.76911666666666678</v>
      </c>
      <c r="I3" s="13">
        <v>0.12920006994156241</v>
      </c>
      <c r="J3" s="13">
        <v>7.1583416953910961E-2</v>
      </c>
      <c r="K3" s="13">
        <v>0.11607567395517993</v>
      </c>
      <c r="L3" s="13">
        <v>4.7545833333333329E-2</v>
      </c>
      <c r="M3" s="13">
        <v>8.8783333333333325E-2</v>
      </c>
      <c r="N3" s="13">
        <v>4.1237499999999996E-2</v>
      </c>
      <c r="O3" s="1">
        <v>132</v>
      </c>
      <c r="P3" s="1">
        <v>5.4077272727272696</v>
      </c>
      <c r="Q3" s="1">
        <v>5.4249999999999998</v>
      </c>
      <c r="R3" s="1">
        <v>4.7</v>
      </c>
      <c r="S3" s="1">
        <v>6.02</v>
      </c>
      <c r="T3" s="1">
        <v>1.3199999999999994</v>
      </c>
      <c r="U3" s="1">
        <v>0.39452085328661818</v>
      </c>
      <c r="V3" s="1">
        <v>5.3397972661695041</v>
      </c>
      <c r="W3" s="1">
        <v>5.4756572792850351</v>
      </c>
      <c r="X3" s="1">
        <v>5.0650000000000004</v>
      </c>
      <c r="Y3" s="1">
        <v>5.7624999999999993</v>
      </c>
      <c r="Z3" s="1">
        <v>0.6974999999999989</v>
      </c>
    </row>
    <row r="4" spans="1:26" ht="28.8" x14ac:dyDescent="0.3">
      <c r="A4" s="1" t="s">
        <v>476</v>
      </c>
      <c r="B4" s="1" t="s">
        <v>625</v>
      </c>
      <c r="C4" s="1">
        <v>126</v>
      </c>
      <c r="D4" s="13">
        <v>9.5842989417989397E-2</v>
      </c>
      <c r="E4" s="13">
        <v>5.5775000000000012E-2</v>
      </c>
      <c r="F4" s="13">
        <v>2.0499999999999963E-3</v>
      </c>
      <c r="G4" s="13">
        <v>0.77116666666666678</v>
      </c>
      <c r="H4" s="13">
        <v>0.76911666666666678</v>
      </c>
      <c r="I4" s="13">
        <v>0.13472048637998066</v>
      </c>
      <c r="J4" s="13">
        <v>7.2089829158901858E-2</v>
      </c>
      <c r="K4" s="13">
        <v>0.11959614967707694</v>
      </c>
      <c r="L4" s="13">
        <v>4.3900000000000008E-2</v>
      </c>
      <c r="M4" s="13">
        <v>8.8495833333333329E-2</v>
      </c>
      <c r="N4" s="13">
        <v>4.4595833333333321E-2</v>
      </c>
      <c r="O4" s="1">
        <v>126</v>
      </c>
      <c r="P4" s="1">
        <v>5.353809523809522</v>
      </c>
      <c r="Q4" s="1">
        <v>5.35</v>
      </c>
      <c r="R4" s="1">
        <v>4.7</v>
      </c>
      <c r="S4" s="1">
        <v>6.02</v>
      </c>
      <c r="T4" s="1">
        <v>1.3199999999999994</v>
      </c>
      <c r="U4" s="1">
        <v>0.40919209599963108</v>
      </c>
      <c r="V4" s="1">
        <v>5.2816630693674194</v>
      </c>
      <c r="W4" s="1">
        <v>5.4259559782516247</v>
      </c>
      <c r="X4" s="1">
        <v>5.0124999999999993</v>
      </c>
      <c r="Y4" s="1">
        <v>5.71</v>
      </c>
      <c r="Z4" s="1">
        <v>0.69750000000000068</v>
      </c>
    </row>
    <row r="5" spans="1:26" ht="28.8" x14ac:dyDescent="0.3">
      <c r="A5" s="1" t="s">
        <v>477</v>
      </c>
      <c r="B5" s="1" t="s">
        <v>686</v>
      </c>
      <c r="C5" s="1">
        <v>138</v>
      </c>
      <c r="D5" s="13">
        <v>7.7223792270531375E-2</v>
      </c>
      <c r="E5" s="13">
        <v>5.2350000000000008E-2</v>
      </c>
      <c r="F5" s="13">
        <v>2.0499999999999963E-3</v>
      </c>
      <c r="G5" s="13">
        <v>0.77116666666666678</v>
      </c>
      <c r="H5" s="13">
        <v>0.76911666666666678</v>
      </c>
      <c r="I5" s="13">
        <v>9.0759794130926108E-2</v>
      </c>
      <c r="J5" s="13">
        <v>6.1946184928312401E-2</v>
      </c>
      <c r="K5" s="13">
        <v>9.2501399612750349E-2</v>
      </c>
      <c r="L5" s="13">
        <v>4.0600000000000011E-2</v>
      </c>
      <c r="M5" s="13">
        <v>8.8783333333333325E-2</v>
      </c>
      <c r="N5" s="13">
        <v>4.8183333333333314E-2</v>
      </c>
      <c r="O5" s="1">
        <v>138</v>
      </c>
      <c r="P5" s="1">
        <v>5.3611594202898534</v>
      </c>
      <c r="Q5" s="1">
        <v>5.3550000000000004</v>
      </c>
      <c r="R5" s="1">
        <v>4.7</v>
      </c>
      <c r="S5" s="1">
        <v>6.02</v>
      </c>
      <c r="T5" s="1">
        <v>1.3199999999999994</v>
      </c>
      <c r="U5" s="1">
        <v>0.38269515314291275</v>
      </c>
      <c r="V5" s="1">
        <v>5.2967402979518976</v>
      </c>
      <c r="W5" s="1">
        <v>5.4255785426278091</v>
      </c>
      <c r="X5" s="1">
        <v>5.0199999999999996</v>
      </c>
      <c r="Y5" s="1">
        <v>5.6675000000000004</v>
      </c>
      <c r="Z5" s="1">
        <v>0.64750000000000085</v>
      </c>
    </row>
    <row r="6" spans="1:26" ht="28.8" x14ac:dyDescent="0.3">
      <c r="A6" s="1" t="s">
        <v>478</v>
      </c>
      <c r="B6" s="1" t="s">
        <v>626</v>
      </c>
      <c r="C6" s="1">
        <v>108</v>
      </c>
      <c r="D6" s="13">
        <v>8.265447530864195E-2</v>
      </c>
      <c r="E6" s="13">
        <v>5.1250000000000011E-2</v>
      </c>
      <c r="F6" s="13">
        <v>2.0499999999999963E-3</v>
      </c>
      <c r="G6" s="13">
        <v>0.77116666666666678</v>
      </c>
      <c r="H6" s="13">
        <v>0.76911666666666678</v>
      </c>
      <c r="I6" s="13">
        <v>0.10830400239424715</v>
      </c>
      <c r="J6" s="13">
        <v>6.1994953050248686E-2</v>
      </c>
      <c r="K6" s="13">
        <v>0.10331399756703522</v>
      </c>
      <c r="L6" s="13">
        <v>3.7637500000000004E-2</v>
      </c>
      <c r="M6" s="13">
        <v>8.8783333333333325E-2</v>
      </c>
      <c r="N6" s="13">
        <v>5.1145833333333321E-2</v>
      </c>
      <c r="O6" s="1">
        <v>108</v>
      </c>
      <c r="P6" s="1">
        <v>5.310185185185186</v>
      </c>
      <c r="Q6" s="1">
        <v>5.28</v>
      </c>
      <c r="R6" s="1">
        <v>4.7</v>
      </c>
      <c r="S6" s="1">
        <v>6.02</v>
      </c>
      <c r="T6" s="1">
        <v>1.3199999999999994</v>
      </c>
      <c r="U6" s="1">
        <v>0.38529508410378766</v>
      </c>
      <c r="V6" s="1">
        <v>5.2366882488751525</v>
      </c>
      <c r="W6" s="1">
        <v>5.3836821214952195</v>
      </c>
      <c r="X6" s="1">
        <v>4.9800000000000004</v>
      </c>
      <c r="Y6" s="1">
        <v>5.6449999999999996</v>
      </c>
      <c r="Z6" s="1">
        <v>0.66499999999999915</v>
      </c>
    </row>
    <row r="7" spans="1:26" ht="28.8" x14ac:dyDescent="0.3">
      <c r="A7" s="1" t="s">
        <v>479</v>
      </c>
      <c r="B7" s="1" t="s">
        <v>627</v>
      </c>
      <c r="C7" s="1">
        <v>156</v>
      </c>
      <c r="D7" s="13">
        <v>8.8502670940170905E-2</v>
      </c>
      <c r="E7" s="13">
        <v>5.7849999999999999E-2</v>
      </c>
      <c r="F7" s="13">
        <v>2.0499999999999963E-3</v>
      </c>
      <c r="G7" s="13">
        <v>0.77116666666666678</v>
      </c>
      <c r="H7" s="13">
        <v>0.76911666666666678</v>
      </c>
      <c r="I7" s="13">
        <v>0.11812468463475448</v>
      </c>
      <c r="J7" s="13">
        <v>6.9820360557743141E-2</v>
      </c>
      <c r="K7" s="13">
        <v>0.10718498132259867</v>
      </c>
      <c r="L7" s="13">
        <v>4.7533333333333316E-2</v>
      </c>
      <c r="M7" s="13">
        <v>8.7920833333333337E-2</v>
      </c>
      <c r="N7" s="13">
        <v>4.0387500000000021E-2</v>
      </c>
      <c r="O7" s="1">
        <v>156</v>
      </c>
      <c r="P7" s="1">
        <v>5.3905128205128205</v>
      </c>
      <c r="Q7" s="1">
        <v>5.42</v>
      </c>
      <c r="R7" s="1">
        <v>4.7</v>
      </c>
      <c r="S7" s="1">
        <v>6.02</v>
      </c>
      <c r="T7" s="1">
        <v>1.3199999999999994</v>
      </c>
      <c r="U7" s="1">
        <v>0.3992053313882063</v>
      </c>
      <c r="V7" s="1">
        <v>5.3273754844820402</v>
      </c>
      <c r="W7" s="1">
        <v>5.4536501565436009</v>
      </c>
      <c r="X7" s="1">
        <v>5.0449999999999999</v>
      </c>
      <c r="Y7" s="1">
        <v>5.76</v>
      </c>
      <c r="Z7" s="1">
        <v>0.71499999999999986</v>
      </c>
    </row>
    <row r="8" spans="1:26" ht="28.8" x14ac:dyDescent="0.3">
      <c r="A8" s="1" t="s">
        <v>505</v>
      </c>
      <c r="B8" s="1" t="s">
        <v>632</v>
      </c>
      <c r="C8" s="1">
        <v>12</v>
      </c>
      <c r="D8" s="13">
        <v>6.1412500000000009E-2</v>
      </c>
      <c r="E8" s="13">
        <v>5.0800000000000005E-2</v>
      </c>
      <c r="F8" s="13">
        <v>1.2916666666666674E-2</v>
      </c>
      <c r="G8" s="13">
        <v>0.10401666666666665</v>
      </c>
      <c r="H8" s="13">
        <v>9.1099999999999973E-2</v>
      </c>
      <c r="I8" s="13">
        <v>2.8178747745330135E-2</v>
      </c>
      <c r="J8" s="13">
        <v>4.3508577855680644E-2</v>
      </c>
      <c r="K8" s="13">
        <v>7.9316422144319373E-2</v>
      </c>
      <c r="L8" s="13">
        <v>4.3595833333333334E-2</v>
      </c>
      <c r="M8" s="13">
        <v>8.9437499999999989E-2</v>
      </c>
      <c r="N8" s="13">
        <v>4.5841666666666656E-2</v>
      </c>
      <c r="O8" s="1">
        <v>12</v>
      </c>
      <c r="P8" s="1">
        <v>5.2608333333333333</v>
      </c>
      <c r="Q8" s="1">
        <v>5.2149999999999999</v>
      </c>
      <c r="R8" s="1">
        <v>4.8099999999999996</v>
      </c>
      <c r="S8" s="1">
        <v>5.93</v>
      </c>
      <c r="T8" s="1">
        <v>1.1200000000000001</v>
      </c>
      <c r="U8" s="1">
        <v>0.36532571602322056</v>
      </c>
      <c r="V8" s="1">
        <v>5.0287164473698178</v>
      </c>
      <c r="W8" s="1">
        <v>5.4929502192968487</v>
      </c>
      <c r="X8" s="1">
        <v>4.9725000000000001</v>
      </c>
      <c r="Y8" s="1">
        <v>5.5350000000000001</v>
      </c>
      <c r="Z8" s="1">
        <v>0.5625</v>
      </c>
    </row>
    <row r="9" spans="1:26" ht="28.8" x14ac:dyDescent="0.3">
      <c r="A9" s="1" t="s">
        <v>506</v>
      </c>
      <c r="B9" s="1" t="s">
        <v>633</v>
      </c>
      <c r="C9" s="1">
        <v>12</v>
      </c>
      <c r="D9" s="13">
        <v>8.0959722222222225E-2</v>
      </c>
      <c r="E9" s="13">
        <v>4.9875000000000017E-2</v>
      </c>
      <c r="F9" s="13">
        <v>3.6099999999999993E-2</v>
      </c>
      <c r="G9" s="13">
        <v>0.3777833333333333</v>
      </c>
      <c r="H9" s="13">
        <v>0.34168333333333334</v>
      </c>
      <c r="I9" s="13">
        <v>9.4650810787568568E-2</v>
      </c>
      <c r="J9" s="13">
        <v>2.0821466166533256E-2</v>
      </c>
      <c r="K9" s="13">
        <v>0.14109797827791121</v>
      </c>
      <c r="L9" s="13">
        <v>4.8820833333333327E-2</v>
      </c>
      <c r="M9" s="13">
        <v>5.8787500000000006E-2</v>
      </c>
      <c r="N9" s="13">
        <v>9.9666666666666792E-3</v>
      </c>
      <c r="O9" s="1">
        <v>12</v>
      </c>
      <c r="P9" s="1">
        <v>5.085</v>
      </c>
      <c r="Q9" s="1">
        <v>4.87</v>
      </c>
      <c r="R9" s="1">
        <v>4.72</v>
      </c>
      <c r="S9" s="1">
        <v>5.98</v>
      </c>
      <c r="T9" s="1">
        <v>1.2600000000000007</v>
      </c>
      <c r="U9" s="1">
        <v>0.43519065832219916</v>
      </c>
      <c r="V9" s="1">
        <v>4.8084930474926093</v>
      </c>
      <c r="W9" s="1">
        <v>5.3615069525073906</v>
      </c>
      <c r="X9" s="1">
        <v>4.8150000000000004</v>
      </c>
      <c r="Y9" s="1">
        <v>5.1749999999999998</v>
      </c>
      <c r="Z9" s="1">
        <v>0.35999999999999943</v>
      </c>
    </row>
    <row r="10" spans="1:26" ht="28.8" x14ac:dyDescent="0.3">
      <c r="A10" s="1" t="s">
        <v>507</v>
      </c>
      <c r="B10" s="1" t="s">
        <v>634</v>
      </c>
      <c r="C10" s="1">
        <v>12</v>
      </c>
      <c r="D10" s="13">
        <v>0.16836944444444446</v>
      </c>
      <c r="E10" s="13">
        <v>6.4950000000000008E-2</v>
      </c>
      <c r="F10" s="13">
        <v>2.0499999999999963E-3</v>
      </c>
      <c r="G10" s="13">
        <v>0.77116666666666678</v>
      </c>
      <c r="H10" s="13">
        <v>0.76911666666666678</v>
      </c>
      <c r="I10" s="13">
        <v>0.22834590264379337</v>
      </c>
      <c r="J10" s="13">
        <v>2.3285379678424811E-2</v>
      </c>
      <c r="K10" s="13">
        <v>0.31345350921046411</v>
      </c>
      <c r="L10" s="13">
        <v>4.7912500000000004E-2</v>
      </c>
      <c r="M10" s="13">
        <v>0.16307083333333333</v>
      </c>
      <c r="N10" s="13">
        <v>0.11515833333333333</v>
      </c>
      <c r="O10" s="1">
        <v>12</v>
      </c>
      <c r="P10" s="1">
        <v>5.3666666666666671</v>
      </c>
      <c r="Q10" s="1">
        <v>5.4850000000000003</v>
      </c>
      <c r="R10" s="1">
        <v>4.7</v>
      </c>
      <c r="S10" s="1">
        <v>5.98</v>
      </c>
      <c r="T10" s="1">
        <v>1.2800000000000002</v>
      </c>
      <c r="U10" s="1">
        <v>0.40150474543404918</v>
      </c>
      <c r="V10" s="1">
        <v>5.1115627220984674</v>
      </c>
      <c r="W10" s="1">
        <v>5.6217706112348669</v>
      </c>
      <c r="X10" s="1">
        <v>4.9749999999999996</v>
      </c>
      <c r="Y10" s="1">
        <v>5.64</v>
      </c>
      <c r="Z10" s="1">
        <v>0.66500000000000004</v>
      </c>
    </row>
    <row r="11" spans="1:26" ht="28.8" x14ac:dyDescent="0.3">
      <c r="A11" s="1" t="s">
        <v>508</v>
      </c>
      <c r="B11" s="1" t="s">
        <v>635</v>
      </c>
      <c r="C11" s="1">
        <v>24</v>
      </c>
      <c r="D11" s="13">
        <v>9.8970138888888906E-2</v>
      </c>
      <c r="E11" s="13">
        <v>5.4475000000000016E-2</v>
      </c>
      <c r="F11" s="13">
        <v>7.1999999999999981E-3</v>
      </c>
      <c r="G11" s="13">
        <v>0.77116666666666678</v>
      </c>
      <c r="H11" s="13">
        <v>0.76396666666666679</v>
      </c>
      <c r="I11" s="13">
        <v>0.15129844925936634</v>
      </c>
      <c r="J11" s="13">
        <v>3.5082406877125785E-2</v>
      </c>
      <c r="K11" s="13">
        <v>0.16285787090065201</v>
      </c>
      <c r="L11" s="13">
        <v>4.6937499999999993E-2</v>
      </c>
      <c r="M11" s="13">
        <v>8.310833333333334E-2</v>
      </c>
      <c r="N11" s="13">
        <v>3.6170833333333346E-2</v>
      </c>
      <c r="O11" s="1">
        <v>24</v>
      </c>
      <c r="P11" s="1">
        <v>5.3874999999999993</v>
      </c>
      <c r="Q11" s="1">
        <v>5.49</v>
      </c>
      <c r="R11" s="1">
        <v>4.72</v>
      </c>
      <c r="S11" s="1">
        <v>5.99</v>
      </c>
      <c r="T11" s="1">
        <v>1.2700000000000005</v>
      </c>
      <c r="U11" s="1">
        <v>0.42293231034106948</v>
      </c>
      <c r="V11" s="1">
        <v>5.2089113480048539</v>
      </c>
      <c r="W11" s="1">
        <v>5.5660886519951447</v>
      </c>
      <c r="X11" s="1">
        <v>4.92</v>
      </c>
      <c r="Y11" s="1">
        <v>5.7249999999999996</v>
      </c>
      <c r="Z11" s="1">
        <v>0.80499999999999972</v>
      </c>
    </row>
    <row r="12" spans="1:26" ht="28.8" x14ac:dyDescent="0.3">
      <c r="A12" s="1" t="s">
        <v>509</v>
      </c>
      <c r="B12" s="1" t="s">
        <v>636</v>
      </c>
      <c r="C12" s="1">
        <v>24</v>
      </c>
      <c r="D12" s="13">
        <v>6.7834027777777778E-2</v>
      </c>
      <c r="E12" s="13">
        <v>6.2433333333333334E-2</v>
      </c>
      <c r="F12" s="13">
        <v>3.0616666666666681E-2</v>
      </c>
      <c r="G12" s="13">
        <v>0.13593333333333335</v>
      </c>
      <c r="H12" s="13">
        <v>0.10531666666666667</v>
      </c>
      <c r="I12" s="13">
        <v>2.8598966434808262E-2</v>
      </c>
      <c r="J12" s="13">
        <v>5.5757743372058209E-2</v>
      </c>
      <c r="K12" s="13">
        <v>7.991031218349734E-2</v>
      </c>
      <c r="L12" s="13">
        <v>4.7733333333333322E-2</v>
      </c>
      <c r="M12" s="13">
        <v>8.8783333333333325E-2</v>
      </c>
      <c r="N12" s="13">
        <v>4.1050000000000003E-2</v>
      </c>
      <c r="O12" s="1">
        <v>24</v>
      </c>
      <c r="P12" s="1">
        <v>5.3737500000000002</v>
      </c>
      <c r="Q12" s="1">
        <v>5.3100000000000005</v>
      </c>
      <c r="R12" s="1">
        <v>4.7</v>
      </c>
      <c r="S12" s="1">
        <v>5.93</v>
      </c>
      <c r="T12" s="1">
        <v>1.2299999999999995</v>
      </c>
      <c r="U12" s="1">
        <v>0.38702670956026203</v>
      </c>
      <c r="V12" s="1">
        <v>5.2103229535046784</v>
      </c>
      <c r="W12" s="1">
        <v>5.5371770464953221</v>
      </c>
      <c r="X12" s="1">
        <v>5.085</v>
      </c>
      <c r="Y12" s="1">
        <v>5.7149999999999999</v>
      </c>
      <c r="Z12" s="1">
        <v>0.62999999999999989</v>
      </c>
    </row>
    <row r="13" spans="1:26" ht="28.8" x14ac:dyDescent="0.3">
      <c r="A13" s="1" t="s">
        <v>510</v>
      </c>
      <c r="B13" s="1" t="s">
        <v>637</v>
      </c>
      <c r="C13" s="1">
        <v>24</v>
      </c>
      <c r="D13" s="13">
        <v>9.8205555555555546E-2</v>
      </c>
      <c r="E13" s="13">
        <v>6.3516666666666666E-2</v>
      </c>
      <c r="F13" s="13">
        <v>2.6283333333333325E-2</v>
      </c>
      <c r="G13" s="13">
        <v>0.77116666666666678</v>
      </c>
      <c r="H13" s="13">
        <v>0.74488333333333345</v>
      </c>
      <c r="I13" s="13">
        <v>0.14549865444757476</v>
      </c>
      <c r="J13" s="13">
        <v>3.6766862106135889E-2</v>
      </c>
      <c r="K13" s="13">
        <v>0.1596442490049752</v>
      </c>
      <c r="L13" s="13">
        <v>5.1662500000000014E-2</v>
      </c>
      <c r="M13" s="13">
        <v>9.1424999999999992E-2</v>
      </c>
      <c r="N13" s="13">
        <v>3.9762499999999978E-2</v>
      </c>
      <c r="O13" s="1">
        <v>24</v>
      </c>
      <c r="P13" s="1">
        <v>5.2887499999999994</v>
      </c>
      <c r="Q13" s="1">
        <v>5.165</v>
      </c>
      <c r="R13" s="1">
        <v>4.76</v>
      </c>
      <c r="S13" s="1">
        <v>5.99</v>
      </c>
      <c r="T13" s="1">
        <v>1.2300000000000004</v>
      </c>
      <c r="U13" s="1">
        <v>0.39869692641207416</v>
      </c>
      <c r="V13" s="1">
        <v>5.1203950531170834</v>
      </c>
      <c r="W13" s="1">
        <v>5.4571049468829154</v>
      </c>
      <c r="X13" s="1">
        <v>4.97</v>
      </c>
      <c r="Y13" s="1">
        <v>5.65</v>
      </c>
      <c r="Z13" s="1">
        <v>0.6800000000000006</v>
      </c>
    </row>
    <row r="14" spans="1:26" ht="28.8" x14ac:dyDescent="0.3">
      <c r="A14" s="1" t="s">
        <v>511</v>
      </c>
      <c r="B14" s="1" t="s">
        <v>638</v>
      </c>
      <c r="C14" s="1">
        <v>24</v>
      </c>
      <c r="D14" s="13">
        <v>7.4258333333333329E-2</v>
      </c>
      <c r="E14" s="13">
        <v>6.8458333333333343E-2</v>
      </c>
      <c r="F14" s="13">
        <v>6.2000000000000111E-3</v>
      </c>
      <c r="G14" s="13">
        <v>0.3777833333333333</v>
      </c>
      <c r="H14" s="13">
        <v>0.37158333333333327</v>
      </c>
      <c r="I14" s="13">
        <v>7.0377196810599618E-2</v>
      </c>
      <c r="J14" s="13">
        <v>4.4540649433831278E-2</v>
      </c>
      <c r="K14" s="13">
        <v>0.10397601723283538</v>
      </c>
      <c r="L14" s="13">
        <v>4.3825000000000003E-2</v>
      </c>
      <c r="M14" s="13">
        <v>8.0595833333333325E-2</v>
      </c>
      <c r="N14" s="13">
        <v>3.6770833333333322E-2</v>
      </c>
      <c r="O14" s="1">
        <v>24</v>
      </c>
      <c r="P14" s="1">
        <v>5.53125</v>
      </c>
      <c r="Q14" s="1">
        <v>5.5549999999999997</v>
      </c>
      <c r="R14" s="1">
        <v>4.71</v>
      </c>
      <c r="S14" s="1">
        <v>6.02</v>
      </c>
      <c r="T14" s="1">
        <v>1.3099999999999996</v>
      </c>
      <c r="U14" s="1">
        <v>0.34158597491827664</v>
      </c>
      <c r="V14" s="1">
        <v>5.3870108929147387</v>
      </c>
      <c r="W14" s="1">
        <v>5.6754891070852613</v>
      </c>
      <c r="X14" s="1">
        <v>5.3674999999999997</v>
      </c>
      <c r="Y14" s="1">
        <v>5.7324999999999999</v>
      </c>
      <c r="Z14" s="1">
        <v>0.36500000000000021</v>
      </c>
    </row>
    <row r="15" spans="1:26" ht="28.8" x14ac:dyDescent="0.3">
      <c r="A15" s="1" t="s">
        <v>512</v>
      </c>
      <c r="B15" s="1" t="s">
        <v>639</v>
      </c>
      <c r="C15" s="1">
        <v>12</v>
      </c>
      <c r="D15" s="13">
        <v>8.1013888888888899E-2</v>
      </c>
      <c r="E15" s="13">
        <v>5.0975000000000013E-2</v>
      </c>
      <c r="F15" s="13">
        <v>2.5550000000000003E-2</v>
      </c>
      <c r="G15" s="13">
        <v>0.3777833333333333</v>
      </c>
      <c r="H15" s="13">
        <v>0.35223333333333329</v>
      </c>
      <c r="I15" s="13">
        <v>9.5517980176703043E-2</v>
      </c>
      <c r="J15" s="13">
        <v>2.032465968956286E-2</v>
      </c>
      <c r="K15" s="13">
        <v>0.14170311808821495</v>
      </c>
      <c r="L15" s="13">
        <v>4.4687499999999991E-2</v>
      </c>
      <c r="M15" s="13">
        <v>7.1133333333333326E-2</v>
      </c>
      <c r="N15" s="13">
        <v>2.6445833333333335E-2</v>
      </c>
      <c r="O15" s="1">
        <v>12</v>
      </c>
      <c r="P15" s="1">
        <v>5.4016666666666664</v>
      </c>
      <c r="Q15" s="1">
        <v>5.4550000000000001</v>
      </c>
      <c r="R15" s="1">
        <v>4.92</v>
      </c>
      <c r="S15" s="1">
        <v>5.9</v>
      </c>
      <c r="T15" s="1">
        <v>0.98000000000000043</v>
      </c>
      <c r="U15" s="1">
        <v>0.28568365636688342</v>
      </c>
      <c r="V15" s="1">
        <v>5.2201519312453657</v>
      </c>
      <c r="W15" s="1">
        <v>5.5831814020879671</v>
      </c>
      <c r="X15" s="1">
        <v>5.1850000000000005</v>
      </c>
      <c r="Y15" s="1">
        <v>5.5500000000000007</v>
      </c>
      <c r="Z15" s="1">
        <v>0.36500000000000021</v>
      </c>
    </row>
    <row r="16" spans="1:26" ht="28.8" x14ac:dyDescent="0.3">
      <c r="A16" s="1" t="s">
        <v>513</v>
      </c>
      <c r="B16" s="1" t="s">
        <v>640</v>
      </c>
      <c r="C16" s="1">
        <v>24</v>
      </c>
      <c r="D16" s="13">
        <v>0.12950069444444443</v>
      </c>
      <c r="E16" s="13">
        <v>5.3650000000000003E-2</v>
      </c>
      <c r="F16" s="13">
        <v>2.0499999999999963E-3</v>
      </c>
      <c r="G16" s="13">
        <v>0.77116666666666678</v>
      </c>
      <c r="H16" s="13">
        <v>0.76911666666666678</v>
      </c>
      <c r="I16" s="13">
        <v>0.17798250209001285</v>
      </c>
      <c r="J16" s="13">
        <v>5.4345275126054554E-2</v>
      </c>
      <c r="K16" s="13">
        <v>0.2046561137628343</v>
      </c>
      <c r="L16" s="13">
        <v>4.6624999999999986E-2</v>
      </c>
      <c r="M16" s="13">
        <v>9.1245833333333332E-2</v>
      </c>
      <c r="N16" s="13">
        <v>4.4620833333333346E-2</v>
      </c>
      <c r="O16" s="1">
        <v>24</v>
      </c>
      <c r="P16" s="1">
        <v>5.2333333333333334</v>
      </c>
      <c r="Q16" s="1">
        <v>5.17</v>
      </c>
      <c r="R16" s="1">
        <v>4.7</v>
      </c>
      <c r="S16" s="1">
        <v>6.02</v>
      </c>
      <c r="T16" s="1">
        <v>1.3199999999999994</v>
      </c>
      <c r="U16" s="1">
        <v>0.42854320127884288</v>
      </c>
      <c r="V16" s="1">
        <v>5.0523754098860723</v>
      </c>
      <c r="W16" s="1">
        <v>5.4142912567805945</v>
      </c>
      <c r="X16" s="1">
        <v>4.8724999999999996</v>
      </c>
      <c r="Y16" s="1">
        <v>5.4399999999999995</v>
      </c>
      <c r="Z16" s="1">
        <v>0.56749999999999989</v>
      </c>
    </row>
    <row r="17" spans="1:26" ht="28.8" x14ac:dyDescent="0.3">
      <c r="A17" s="1" t="s">
        <v>514</v>
      </c>
      <c r="B17" s="1" t="s">
        <v>641</v>
      </c>
      <c r="C17" s="1">
        <v>24</v>
      </c>
      <c r="D17" s="13">
        <v>6.5991666666666671E-2</v>
      </c>
      <c r="E17" s="13">
        <v>5.2350000000000008E-2</v>
      </c>
      <c r="F17" s="13">
        <v>2.0499999999999963E-3</v>
      </c>
      <c r="G17" s="13">
        <v>0.3777833333333333</v>
      </c>
      <c r="H17" s="13">
        <v>0.37573333333333331</v>
      </c>
      <c r="I17" s="13">
        <v>7.0560906126763634E-2</v>
      </c>
      <c r="J17" s="13">
        <v>3.6196409126346724E-2</v>
      </c>
      <c r="K17" s="13">
        <v>9.5786924206986618E-2</v>
      </c>
      <c r="L17" s="13">
        <v>4.1966666666666666E-2</v>
      </c>
      <c r="M17" s="13">
        <v>6.6174999999999998E-2</v>
      </c>
      <c r="N17" s="13">
        <v>2.4208333333333332E-2</v>
      </c>
      <c r="O17" s="1">
        <v>24</v>
      </c>
      <c r="P17" s="1">
        <v>5.5229166666666671</v>
      </c>
      <c r="Q17" s="1">
        <v>5.6400000000000006</v>
      </c>
      <c r="R17" s="1">
        <v>4.82</v>
      </c>
      <c r="S17" s="1">
        <v>6.01</v>
      </c>
      <c r="T17" s="1">
        <v>1.1899999999999995</v>
      </c>
      <c r="U17" s="1">
        <v>0.41362111592160278</v>
      </c>
      <c r="V17" s="1">
        <v>5.3482597872487849</v>
      </c>
      <c r="W17" s="1">
        <v>5.6975735460845494</v>
      </c>
      <c r="X17" s="1">
        <v>5.1675000000000004</v>
      </c>
      <c r="Y17" s="1">
        <v>5.88</v>
      </c>
      <c r="Z17" s="1">
        <v>0.71249999999999947</v>
      </c>
    </row>
    <row r="18" spans="1:26" x14ac:dyDescent="0.3">
      <c r="A18" s="1" t="s">
        <v>515</v>
      </c>
      <c r="B18" s="1" t="s">
        <v>642</v>
      </c>
      <c r="C18" s="1">
        <v>24</v>
      </c>
      <c r="D18" s="13">
        <v>7.5875694444444447E-2</v>
      </c>
      <c r="E18" s="13">
        <v>6.101666666666667E-2</v>
      </c>
      <c r="F18" s="13">
        <v>2.0499999999999963E-3</v>
      </c>
      <c r="G18" s="13">
        <v>0.3777833333333333</v>
      </c>
      <c r="H18" s="13">
        <v>0.37573333333333331</v>
      </c>
      <c r="I18" s="13">
        <v>7.7011819467280668E-2</v>
      </c>
      <c r="J18" s="13">
        <v>4.3356455100295496E-2</v>
      </c>
      <c r="K18" s="13">
        <v>0.1083949337885934</v>
      </c>
      <c r="L18" s="13">
        <v>2.9133333333333324E-2</v>
      </c>
      <c r="M18" s="13">
        <v>9.1424999999999992E-2</v>
      </c>
      <c r="N18" s="13">
        <v>6.2291666666666669E-2</v>
      </c>
      <c r="O18" s="1">
        <v>24</v>
      </c>
      <c r="P18" s="1">
        <v>5.320833333333332</v>
      </c>
      <c r="Q18" s="1">
        <v>5.2349999999999994</v>
      </c>
      <c r="R18" s="1">
        <v>4.75</v>
      </c>
      <c r="S18" s="1">
        <v>6.02</v>
      </c>
      <c r="T18" s="1">
        <v>1.2699999999999996</v>
      </c>
      <c r="U18" s="1">
        <v>0.40779275071564464</v>
      </c>
      <c r="V18" s="1">
        <v>5.1486375566971878</v>
      </c>
      <c r="W18" s="1">
        <v>5.4930291099694761</v>
      </c>
      <c r="X18" s="1">
        <v>5.01</v>
      </c>
      <c r="Y18" s="1">
        <v>5.6624999999999996</v>
      </c>
      <c r="Z18" s="1">
        <v>0.65249999999999986</v>
      </c>
    </row>
    <row r="19" spans="1:26" ht="28.8" x14ac:dyDescent="0.3">
      <c r="A19" s="1" t="s">
        <v>516</v>
      </c>
      <c r="B19" s="1" t="s">
        <v>643</v>
      </c>
      <c r="C19" s="1">
        <v>24</v>
      </c>
      <c r="D19" s="13">
        <v>7.865833333333333E-2</v>
      </c>
      <c r="E19" s="13">
        <v>5.4475000000000016E-2</v>
      </c>
      <c r="F19" s="13">
        <v>6.2000000000000111E-3</v>
      </c>
      <c r="G19" s="13">
        <v>0.3777833333333333</v>
      </c>
      <c r="H19" s="13">
        <v>0.37158333333333327</v>
      </c>
      <c r="I19" s="13">
        <v>9.5910673392127749E-2</v>
      </c>
      <c r="J19" s="13">
        <v>3.815880786734667E-2</v>
      </c>
      <c r="K19" s="13">
        <v>0.11915785879931999</v>
      </c>
      <c r="L19" s="13">
        <v>3.7900000000000003E-2</v>
      </c>
      <c r="M19" s="13">
        <v>8.0770833333333319E-2</v>
      </c>
      <c r="N19" s="13">
        <v>4.2870833333333316E-2</v>
      </c>
      <c r="O19" s="1">
        <v>24</v>
      </c>
      <c r="P19" s="1">
        <v>5.3329166666666659</v>
      </c>
      <c r="Q19" s="1">
        <v>5.335</v>
      </c>
      <c r="R19" s="1">
        <v>4.7</v>
      </c>
      <c r="S19" s="1">
        <v>5.93</v>
      </c>
      <c r="T19" s="1">
        <v>1.2299999999999995</v>
      </c>
      <c r="U19" s="1">
        <v>0.33962228593166449</v>
      </c>
      <c r="V19" s="1">
        <v>5.1895067527181835</v>
      </c>
      <c r="W19" s="1">
        <v>5.4763265806151482</v>
      </c>
      <c r="X19" s="1">
        <v>5.1150000000000002</v>
      </c>
      <c r="Y19" s="1">
        <v>5.6174999999999997</v>
      </c>
      <c r="Z19" s="1">
        <v>0.5024999999999995</v>
      </c>
    </row>
    <row r="20" spans="1:26" ht="28.8" x14ac:dyDescent="0.3">
      <c r="A20" s="1" t="s">
        <v>517</v>
      </c>
      <c r="B20" s="1" t="s">
        <v>644</v>
      </c>
      <c r="C20" s="1">
        <v>24</v>
      </c>
      <c r="D20" s="13">
        <v>6.2040277777777771E-2</v>
      </c>
      <c r="E20" s="13">
        <v>4.6575000000000005E-2</v>
      </c>
      <c r="F20" s="13">
        <v>2.0499999999999963E-3</v>
      </c>
      <c r="G20" s="13">
        <v>0.3777833333333333</v>
      </c>
      <c r="H20" s="13">
        <v>0.37573333333333331</v>
      </c>
      <c r="I20" s="13">
        <v>7.2520301158452996E-2</v>
      </c>
      <c r="J20" s="13">
        <v>3.141764027882285E-2</v>
      </c>
      <c r="K20" s="13">
        <v>9.2662915276732691E-2</v>
      </c>
      <c r="L20" s="13">
        <v>3.2200000000000006E-2</v>
      </c>
      <c r="M20" s="13">
        <v>7.8099999999999989E-2</v>
      </c>
      <c r="N20" s="13">
        <v>4.5899999999999982E-2</v>
      </c>
      <c r="O20" s="1">
        <v>24</v>
      </c>
      <c r="P20" s="1">
        <v>5.3858333333333341</v>
      </c>
      <c r="Q20" s="1">
        <v>5.3650000000000002</v>
      </c>
      <c r="R20" s="1">
        <v>4.75</v>
      </c>
      <c r="S20" s="1">
        <v>5.97</v>
      </c>
      <c r="T20" s="1">
        <v>1.2199999999999998</v>
      </c>
      <c r="U20" s="1">
        <v>0.3761118782058554</v>
      </c>
      <c r="V20" s="1">
        <v>5.2270152159046184</v>
      </c>
      <c r="W20" s="1">
        <v>5.5446514507620499</v>
      </c>
      <c r="X20" s="1">
        <v>5.0549999999999997</v>
      </c>
      <c r="Y20" s="1">
        <v>5.71</v>
      </c>
      <c r="Z20" s="1">
        <v>0.65500000000000025</v>
      </c>
    </row>
    <row r="21" spans="1:26" ht="16.2" thickBot="1" x14ac:dyDescent="0.35">
      <c r="A21" s="1" t="s">
        <v>518</v>
      </c>
      <c r="B21" s="20" t="s">
        <v>645</v>
      </c>
      <c r="C21" s="1">
        <v>88</v>
      </c>
      <c r="D21" s="13">
        <v>8.1967045454545417E-2</v>
      </c>
      <c r="E21" s="13">
        <v>6.1225000000000016E-2</v>
      </c>
      <c r="F21" s="13">
        <v>2.0499999999999963E-3</v>
      </c>
      <c r="G21" s="13">
        <v>0.77116666666666678</v>
      </c>
      <c r="H21" s="13">
        <v>0.76911666666666678</v>
      </c>
      <c r="I21" s="13">
        <v>9.8738031040735488E-2</v>
      </c>
      <c r="J21" s="13">
        <v>6.1046455654660291E-2</v>
      </c>
      <c r="K21" s="13">
        <v>0.10288763525443054</v>
      </c>
      <c r="L21" s="13">
        <v>4.830000000000001E-2</v>
      </c>
      <c r="M21" s="13">
        <v>8.8783333333333325E-2</v>
      </c>
      <c r="N21" s="13">
        <v>4.0483333333333316E-2</v>
      </c>
      <c r="O21" s="1">
        <v>88</v>
      </c>
      <c r="P21" s="1">
        <v>5.3681818181818173</v>
      </c>
      <c r="Q21" s="1">
        <v>5.335</v>
      </c>
      <c r="R21" s="1">
        <v>4.72</v>
      </c>
      <c r="S21" s="1">
        <v>6.02</v>
      </c>
      <c r="T21" s="1">
        <v>1.2999999999999998</v>
      </c>
      <c r="U21" s="1">
        <v>0.38204394479899267</v>
      </c>
      <c r="V21" s="1">
        <v>5.2872344408599803</v>
      </c>
      <c r="W21" s="1">
        <v>5.4491291955036543</v>
      </c>
      <c r="X21" s="1">
        <v>5.0449999999999999</v>
      </c>
      <c r="Y21" s="1">
        <v>5.7025000000000006</v>
      </c>
      <c r="Z21" s="1">
        <v>0.65750000000000064</v>
      </c>
    </row>
    <row r="22" spans="1:26" ht="16.2" thickBot="1" x14ac:dyDescent="0.35">
      <c r="A22" s="1" t="s">
        <v>519</v>
      </c>
      <c r="B22" s="20" t="s">
        <v>646</v>
      </c>
      <c r="C22" s="1">
        <v>88</v>
      </c>
      <c r="D22" s="13">
        <v>0.10257632575757579</v>
      </c>
      <c r="E22" s="13">
        <v>5.5325000000000006E-2</v>
      </c>
      <c r="F22" s="13">
        <v>2.0499999999999963E-3</v>
      </c>
      <c r="G22" s="13">
        <v>0.77116666666666678</v>
      </c>
      <c r="H22" s="13">
        <v>0.76911666666666678</v>
      </c>
      <c r="I22" s="13">
        <v>0.14900869382270401</v>
      </c>
      <c r="J22" s="13">
        <v>7.1004400257103029E-2</v>
      </c>
      <c r="K22" s="13">
        <v>0.13414825125804855</v>
      </c>
      <c r="L22" s="13">
        <v>4.2641666666666654E-2</v>
      </c>
      <c r="M22" s="13">
        <v>8.8783333333333325E-2</v>
      </c>
      <c r="N22" s="13">
        <v>4.6141666666666671E-2</v>
      </c>
      <c r="O22" s="1">
        <v>88</v>
      </c>
      <c r="P22" s="1">
        <v>5.3455681818181819</v>
      </c>
      <c r="Q22" s="1">
        <v>5.3949999999999996</v>
      </c>
      <c r="R22" s="1">
        <v>4.7</v>
      </c>
      <c r="S22" s="1">
        <v>6.02</v>
      </c>
      <c r="T22" s="1">
        <v>1.3199999999999994</v>
      </c>
      <c r="U22" s="1">
        <v>0.40055093654748836</v>
      </c>
      <c r="V22" s="1">
        <v>5.2606995476237985</v>
      </c>
      <c r="W22" s="1">
        <v>5.4304368160125653</v>
      </c>
      <c r="X22" s="1">
        <v>4.97</v>
      </c>
      <c r="Y22" s="1">
        <v>5.6950000000000003</v>
      </c>
      <c r="Z22" s="1">
        <v>0.72500000000000053</v>
      </c>
    </row>
    <row r="23" spans="1:26" ht="16.2" thickBot="1" x14ac:dyDescent="0.35">
      <c r="A23" s="1" t="s">
        <v>520</v>
      </c>
      <c r="B23" s="20" t="s">
        <v>647</v>
      </c>
      <c r="C23" s="1">
        <v>88</v>
      </c>
      <c r="D23" s="13">
        <v>7.3787310606060599E-2</v>
      </c>
      <c r="E23" s="13">
        <v>5.2350000000000008E-2</v>
      </c>
      <c r="F23" s="13">
        <v>2.0499999999999963E-3</v>
      </c>
      <c r="G23" s="13">
        <v>0.3777833333333333</v>
      </c>
      <c r="H23" s="13">
        <v>0.37573333333333331</v>
      </c>
      <c r="I23" s="13">
        <v>8.3143962456329032E-2</v>
      </c>
      <c r="J23" s="13">
        <v>5.6170788233153537E-2</v>
      </c>
      <c r="K23" s="13">
        <v>9.1403832978967661E-2</v>
      </c>
      <c r="L23" s="13">
        <v>3.9045833333333335E-2</v>
      </c>
      <c r="M23" s="13">
        <v>8.0483333333333323E-2</v>
      </c>
      <c r="N23" s="13">
        <v>4.1437499999999988E-2</v>
      </c>
      <c r="O23" s="1">
        <v>88</v>
      </c>
      <c r="P23" s="1">
        <v>5.3592045454545438</v>
      </c>
      <c r="Q23" s="1">
        <v>5.37</v>
      </c>
      <c r="R23" s="1">
        <v>4.7</v>
      </c>
      <c r="S23" s="1">
        <v>6.02</v>
      </c>
      <c r="T23" s="1">
        <v>1.3199999999999994</v>
      </c>
      <c r="U23" s="1">
        <v>0.40568155109474913</v>
      </c>
      <c r="V23" s="1">
        <v>5.2732488379082492</v>
      </c>
      <c r="W23" s="1">
        <v>5.4451602530008385</v>
      </c>
      <c r="X23" s="1">
        <v>5.0199999999999996</v>
      </c>
      <c r="Y23" s="1">
        <v>5.67</v>
      </c>
      <c r="Z23" s="1">
        <v>0.65000000000000036</v>
      </c>
    </row>
    <row r="26" spans="1:26" ht="58.2" thickBot="1" x14ac:dyDescent="0.35">
      <c r="A26" s="18" t="s">
        <v>685</v>
      </c>
      <c r="B26" s="21" t="s">
        <v>474</v>
      </c>
      <c r="C26" s="21" t="s">
        <v>475</v>
      </c>
      <c r="D26" s="21" t="s">
        <v>476</v>
      </c>
      <c r="E26" s="21" t="s">
        <v>477</v>
      </c>
      <c r="F26" s="21" t="s">
        <v>478</v>
      </c>
      <c r="G26" s="21" t="s">
        <v>479</v>
      </c>
      <c r="H26" s="21" t="s">
        <v>505</v>
      </c>
      <c r="I26" s="21" t="s">
        <v>506</v>
      </c>
      <c r="J26" s="21" t="s">
        <v>507</v>
      </c>
      <c r="K26" s="21" t="s">
        <v>508</v>
      </c>
      <c r="L26" s="21" t="s">
        <v>509</v>
      </c>
      <c r="M26" s="21" t="s">
        <v>510</v>
      </c>
      <c r="N26" s="21" t="s">
        <v>511</v>
      </c>
      <c r="O26" s="21" t="s">
        <v>512</v>
      </c>
      <c r="P26" s="21" t="s">
        <v>513</v>
      </c>
      <c r="Q26" s="21" t="s">
        <v>514</v>
      </c>
      <c r="R26" s="21" t="s">
        <v>515</v>
      </c>
      <c r="S26" s="21" t="s">
        <v>516</v>
      </c>
      <c r="T26" s="21" t="s">
        <v>517</v>
      </c>
      <c r="U26" s="21" t="s">
        <v>518</v>
      </c>
      <c r="V26" s="21" t="s">
        <v>519</v>
      </c>
      <c r="W26" s="21" t="s">
        <v>520</v>
      </c>
    </row>
    <row r="27" spans="1:26" ht="216.6" thickBot="1" x14ac:dyDescent="0.35">
      <c r="A27" s="18" t="s">
        <v>684</v>
      </c>
      <c r="B27" s="21" t="s">
        <v>623</v>
      </c>
      <c r="C27" s="21" t="s">
        <v>624</v>
      </c>
      <c r="D27" s="21" t="s">
        <v>625</v>
      </c>
      <c r="E27" s="21" t="s">
        <v>686</v>
      </c>
      <c r="F27" s="21" t="s">
        <v>626</v>
      </c>
      <c r="G27" s="21" t="s">
        <v>627</v>
      </c>
      <c r="H27" s="21" t="s">
        <v>632</v>
      </c>
      <c r="I27" s="21" t="s">
        <v>633</v>
      </c>
      <c r="J27" s="21" t="s">
        <v>634</v>
      </c>
      <c r="K27" s="21" t="s">
        <v>635</v>
      </c>
      <c r="L27" s="21" t="s">
        <v>636</v>
      </c>
      <c r="M27" s="21" t="s">
        <v>637</v>
      </c>
      <c r="N27" s="21" t="s">
        <v>638</v>
      </c>
      <c r="O27" s="21" t="s">
        <v>639</v>
      </c>
      <c r="P27" s="21" t="s">
        <v>640</v>
      </c>
      <c r="Q27" s="21" t="s">
        <v>641</v>
      </c>
      <c r="R27" s="21" t="s">
        <v>642</v>
      </c>
      <c r="S27" s="21" t="s">
        <v>643</v>
      </c>
      <c r="T27" s="21" t="s">
        <v>644</v>
      </c>
      <c r="U27" s="22" t="s">
        <v>645</v>
      </c>
      <c r="V27" s="22" t="s">
        <v>646</v>
      </c>
      <c r="W27" s="22" t="s">
        <v>647</v>
      </c>
    </row>
    <row r="28" spans="1:26" ht="15" thickBot="1" x14ac:dyDescent="0.35">
      <c r="A28" s="19" t="s">
        <v>672</v>
      </c>
      <c r="B28" s="21">
        <v>132</v>
      </c>
      <c r="C28" s="21">
        <v>132</v>
      </c>
      <c r="D28" s="21">
        <v>126</v>
      </c>
      <c r="E28" s="21">
        <v>138</v>
      </c>
      <c r="F28" s="21">
        <v>108</v>
      </c>
      <c r="G28" s="21">
        <v>156</v>
      </c>
      <c r="H28" s="21">
        <v>12</v>
      </c>
      <c r="I28" s="21">
        <v>12</v>
      </c>
      <c r="J28" s="21">
        <v>12</v>
      </c>
      <c r="K28" s="21">
        <v>24</v>
      </c>
      <c r="L28" s="21">
        <v>24</v>
      </c>
      <c r="M28" s="21">
        <v>24</v>
      </c>
      <c r="N28" s="21">
        <v>24</v>
      </c>
      <c r="O28" s="21">
        <v>12</v>
      </c>
      <c r="P28" s="21">
        <v>24</v>
      </c>
      <c r="Q28" s="21">
        <v>24</v>
      </c>
      <c r="R28" s="21">
        <v>24</v>
      </c>
      <c r="S28" s="21">
        <v>24</v>
      </c>
      <c r="T28" s="21">
        <v>24</v>
      </c>
      <c r="U28" s="21">
        <v>88</v>
      </c>
      <c r="V28" s="21">
        <v>88</v>
      </c>
      <c r="W28" s="21">
        <v>88</v>
      </c>
    </row>
    <row r="29" spans="1:26" ht="15" thickBot="1" x14ac:dyDescent="0.35">
      <c r="A29" s="19" t="s">
        <v>673</v>
      </c>
      <c r="B29" s="23">
        <v>7.8390909090909081E-2</v>
      </c>
      <c r="C29" s="23">
        <v>9.3829545454545443E-2</v>
      </c>
      <c r="D29" s="23">
        <v>9.5842989417989397E-2</v>
      </c>
      <c r="E29" s="23">
        <v>7.7223792270531375E-2</v>
      </c>
      <c r="F29" s="23">
        <v>8.265447530864195E-2</v>
      </c>
      <c r="G29" s="23">
        <v>8.8502670940170905E-2</v>
      </c>
      <c r="H29" s="23">
        <v>6.1412500000000009E-2</v>
      </c>
      <c r="I29" s="23">
        <v>8.0959722222222225E-2</v>
      </c>
      <c r="J29" s="23">
        <v>0.16836944444444446</v>
      </c>
      <c r="K29" s="23">
        <v>9.8970138888888906E-2</v>
      </c>
      <c r="L29" s="23">
        <v>6.7834027777777778E-2</v>
      </c>
      <c r="M29" s="23">
        <v>9.8205555555555546E-2</v>
      </c>
      <c r="N29" s="23">
        <v>7.4258333333333329E-2</v>
      </c>
      <c r="O29" s="23">
        <v>8.1013888888888899E-2</v>
      </c>
      <c r="P29" s="23">
        <v>0.12950069444444443</v>
      </c>
      <c r="Q29" s="23">
        <v>6.5991666666666671E-2</v>
      </c>
      <c r="R29" s="23">
        <v>7.5875694444444447E-2</v>
      </c>
      <c r="S29" s="23">
        <v>7.865833333333333E-2</v>
      </c>
      <c r="T29" s="23">
        <v>6.2040277777777771E-2</v>
      </c>
      <c r="U29" s="23">
        <v>8.1967045454545417E-2</v>
      </c>
      <c r="V29" s="23">
        <v>0.10257632575757579</v>
      </c>
      <c r="W29" s="23">
        <v>7.3787310606060599E-2</v>
      </c>
    </row>
    <row r="30" spans="1:26" ht="15" thickBot="1" x14ac:dyDescent="0.35">
      <c r="A30" s="19" t="s">
        <v>674</v>
      </c>
      <c r="B30" s="23">
        <v>5.2350000000000008E-2</v>
      </c>
      <c r="C30" s="23">
        <v>5.7225000000000012E-2</v>
      </c>
      <c r="D30" s="23">
        <v>5.5775000000000012E-2</v>
      </c>
      <c r="E30" s="23">
        <v>5.2350000000000008E-2</v>
      </c>
      <c r="F30" s="23">
        <v>5.1250000000000011E-2</v>
      </c>
      <c r="G30" s="23">
        <v>5.7849999999999999E-2</v>
      </c>
      <c r="H30" s="23">
        <v>5.0800000000000005E-2</v>
      </c>
      <c r="I30" s="23">
        <v>4.9875000000000017E-2</v>
      </c>
      <c r="J30" s="23">
        <v>6.4950000000000008E-2</v>
      </c>
      <c r="K30" s="23">
        <v>5.4475000000000016E-2</v>
      </c>
      <c r="L30" s="23">
        <v>6.2433333333333334E-2</v>
      </c>
      <c r="M30" s="23">
        <v>6.3516666666666666E-2</v>
      </c>
      <c r="N30" s="23">
        <v>6.8458333333333343E-2</v>
      </c>
      <c r="O30" s="23">
        <v>5.0975000000000013E-2</v>
      </c>
      <c r="P30" s="23">
        <v>5.3650000000000003E-2</v>
      </c>
      <c r="Q30" s="23">
        <v>5.2350000000000008E-2</v>
      </c>
      <c r="R30" s="23">
        <v>6.101666666666667E-2</v>
      </c>
      <c r="S30" s="23">
        <v>5.4475000000000016E-2</v>
      </c>
      <c r="T30" s="23">
        <v>4.6575000000000005E-2</v>
      </c>
      <c r="U30" s="23">
        <v>6.1225000000000016E-2</v>
      </c>
      <c r="V30" s="23">
        <v>5.5325000000000006E-2</v>
      </c>
      <c r="W30" s="23">
        <v>5.2350000000000008E-2</v>
      </c>
    </row>
    <row r="31" spans="1:26" ht="15" thickBot="1" x14ac:dyDescent="0.35">
      <c r="A31" s="19" t="s">
        <v>675</v>
      </c>
      <c r="B31" s="23">
        <v>2.0499999999999963E-3</v>
      </c>
      <c r="C31" s="23">
        <v>2.0499999999999963E-3</v>
      </c>
      <c r="D31" s="23">
        <v>2.0499999999999963E-3</v>
      </c>
      <c r="E31" s="23">
        <v>2.0499999999999963E-3</v>
      </c>
      <c r="F31" s="23">
        <v>2.0499999999999963E-3</v>
      </c>
      <c r="G31" s="23">
        <v>2.0499999999999963E-3</v>
      </c>
      <c r="H31" s="23">
        <v>1.2916666666666674E-2</v>
      </c>
      <c r="I31" s="23">
        <v>3.6099999999999993E-2</v>
      </c>
      <c r="J31" s="23">
        <v>2.0499999999999963E-3</v>
      </c>
      <c r="K31" s="23">
        <v>7.1999999999999981E-3</v>
      </c>
      <c r="L31" s="23">
        <v>3.0616666666666681E-2</v>
      </c>
      <c r="M31" s="23">
        <v>2.6283333333333325E-2</v>
      </c>
      <c r="N31" s="23">
        <v>6.2000000000000111E-3</v>
      </c>
      <c r="O31" s="23">
        <v>2.5550000000000003E-2</v>
      </c>
      <c r="P31" s="23">
        <v>2.0499999999999963E-3</v>
      </c>
      <c r="Q31" s="23">
        <v>2.0499999999999963E-3</v>
      </c>
      <c r="R31" s="23">
        <v>2.0499999999999963E-3</v>
      </c>
      <c r="S31" s="23">
        <v>6.2000000000000111E-3</v>
      </c>
      <c r="T31" s="23">
        <v>2.0499999999999963E-3</v>
      </c>
      <c r="U31" s="23">
        <v>2.0499999999999963E-3</v>
      </c>
      <c r="V31" s="23">
        <v>2.0499999999999963E-3</v>
      </c>
      <c r="W31" s="23">
        <v>2.0499999999999963E-3</v>
      </c>
    </row>
    <row r="32" spans="1:26" ht="15" thickBot="1" x14ac:dyDescent="0.35">
      <c r="A32" s="19" t="s">
        <v>676</v>
      </c>
      <c r="B32" s="23">
        <v>0.77116666666666678</v>
      </c>
      <c r="C32" s="23">
        <v>0.77116666666666678</v>
      </c>
      <c r="D32" s="23">
        <v>0.77116666666666678</v>
      </c>
      <c r="E32" s="23">
        <v>0.77116666666666678</v>
      </c>
      <c r="F32" s="23">
        <v>0.77116666666666678</v>
      </c>
      <c r="G32" s="23">
        <v>0.77116666666666678</v>
      </c>
      <c r="H32" s="23">
        <v>0.10401666666666665</v>
      </c>
      <c r="I32" s="23">
        <v>0.3777833333333333</v>
      </c>
      <c r="J32" s="23">
        <v>0.77116666666666678</v>
      </c>
      <c r="K32" s="23">
        <v>0.77116666666666678</v>
      </c>
      <c r="L32" s="23">
        <v>0.13593333333333335</v>
      </c>
      <c r="M32" s="23">
        <v>0.77116666666666678</v>
      </c>
      <c r="N32" s="23">
        <v>0.3777833333333333</v>
      </c>
      <c r="O32" s="23">
        <v>0.3777833333333333</v>
      </c>
      <c r="P32" s="23">
        <v>0.77116666666666678</v>
      </c>
      <c r="Q32" s="23">
        <v>0.3777833333333333</v>
      </c>
      <c r="R32" s="23">
        <v>0.3777833333333333</v>
      </c>
      <c r="S32" s="23">
        <v>0.3777833333333333</v>
      </c>
      <c r="T32" s="23">
        <v>0.3777833333333333</v>
      </c>
      <c r="U32" s="23">
        <v>0.77116666666666678</v>
      </c>
      <c r="V32" s="23">
        <v>0.77116666666666678</v>
      </c>
      <c r="W32" s="23">
        <v>0.3777833333333333</v>
      </c>
    </row>
    <row r="33" spans="1:23" ht="15" thickBot="1" x14ac:dyDescent="0.35">
      <c r="A33" s="19" t="s">
        <v>677</v>
      </c>
      <c r="B33" s="23">
        <v>0.76911666666666678</v>
      </c>
      <c r="C33" s="23">
        <v>0.76911666666666678</v>
      </c>
      <c r="D33" s="23">
        <v>0.76911666666666678</v>
      </c>
      <c r="E33" s="23">
        <v>0.76911666666666678</v>
      </c>
      <c r="F33" s="23">
        <v>0.76911666666666678</v>
      </c>
      <c r="G33" s="23">
        <v>0.76911666666666678</v>
      </c>
      <c r="H33" s="23">
        <v>9.1099999999999973E-2</v>
      </c>
      <c r="I33" s="23">
        <v>0.34168333333333334</v>
      </c>
      <c r="J33" s="23">
        <v>0.76911666666666678</v>
      </c>
      <c r="K33" s="23">
        <v>0.76396666666666679</v>
      </c>
      <c r="L33" s="23">
        <v>0.10531666666666667</v>
      </c>
      <c r="M33" s="23">
        <v>0.74488333333333345</v>
      </c>
      <c r="N33" s="23">
        <v>0.37158333333333327</v>
      </c>
      <c r="O33" s="23">
        <v>0.35223333333333329</v>
      </c>
      <c r="P33" s="23">
        <v>0.76911666666666678</v>
      </c>
      <c r="Q33" s="23">
        <v>0.37573333333333331</v>
      </c>
      <c r="R33" s="23">
        <v>0.37573333333333331</v>
      </c>
      <c r="S33" s="23">
        <v>0.37158333333333327</v>
      </c>
      <c r="T33" s="23">
        <v>0.37573333333333331</v>
      </c>
      <c r="U33" s="23">
        <v>0.76911666666666678</v>
      </c>
      <c r="V33" s="23">
        <v>0.76911666666666678</v>
      </c>
      <c r="W33" s="23">
        <v>0.37573333333333331</v>
      </c>
    </row>
    <row r="34" spans="1:23" ht="15" thickBot="1" x14ac:dyDescent="0.35">
      <c r="A34" s="19" t="s">
        <v>678</v>
      </c>
      <c r="B34" s="23">
        <v>9.6408031965683927E-2</v>
      </c>
      <c r="C34" s="23">
        <v>0.12920006994156241</v>
      </c>
      <c r="D34" s="23">
        <v>0.13472048637998066</v>
      </c>
      <c r="E34" s="23">
        <v>9.0759794130926108E-2</v>
      </c>
      <c r="F34" s="23">
        <v>0.10830400239424715</v>
      </c>
      <c r="G34" s="23">
        <v>0.11812468463475448</v>
      </c>
      <c r="H34" s="23">
        <v>2.8178747745330135E-2</v>
      </c>
      <c r="I34" s="23">
        <v>9.4650810787568568E-2</v>
      </c>
      <c r="J34" s="23">
        <v>0.22834590264379337</v>
      </c>
      <c r="K34" s="23">
        <v>0.15129844925936634</v>
      </c>
      <c r="L34" s="23">
        <v>2.8598966434808262E-2</v>
      </c>
      <c r="M34" s="23">
        <v>0.14549865444757476</v>
      </c>
      <c r="N34" s="23">
        <v>7.0377196810599618E-2</v>
      </c>
      <c r="O34" s="23">
        <v>9.5517980176703043E-2</v>
      </c>
      <c r="P34" s="23">
        <v>0.17798250209001285</v>
      </c>
      <c r="Q34" s="23">
        <v>7.0560906126763634E-2</v>
      </c>
      <c r="R34" s="23">
        <v>7.7011819467280668E-2</v>
      </c>
      <c r="S34" s="23">
        <v>9.5910673392127749E-2</v>
      </c>
      <c r="T34" s="23">
        <v>7.2520301158452996E-2</v>
      </c>
      <c r="U34" s="23">
        <v>9.8738031040735488E-2</v>
      </c>
      <c r="V34" s="23">
        <v>0.14900869382270401</v>
      </c>
      <c r="W34" s="23">
        <v>8.3143962456329032E-2</v>
      </c>
    </row>
    <row r="35" spans="1:23" ht="15" thickBot="1" x14ac:dyDescent="0.35">
      <c r="A35" s="19" t="s">
        <v>679</v>
      </c>
      <c r="B35" s="23">
        <v>6.1791030557004738E-2</v>
      </c>
      <c r="C35" s="23">
        <v>7.1583416953910961E-2</v>
      </c>
      <c r="D35" s="23">
        <v>7.2089829158901858E-2</v>
      </c>
      <c r="E35" s="23">
        <v>6.1946184928312401E-2</v>
      </c>
      <c r="F35" s="23">
        <v>6.1994953050248686E-2</v>
      </c>
      <c r="G35" s="23">
        <v>6.9820360557743141E-2</v>
      </c>
      <c r="H35" s="23">
        <v>4.3508577855680644E-2</v>
      </c>
      <c r="I35" s="23">
        <v>2.0821466166533256E-2</v>
      </c>
      <c r="J35" s="23">
        <v>2.3285379678424811E-2</v>
      </c>
      <c r="K35" s="23">
        <v>3.5082406877125785E-2</v>
      </c>
      <c r="L35" s="23">
        <v>5.5757743372058209E-2</v>
      </c>
      <c r="M35" s="23">
        <v>3.6766862106135889E-2</v>
      </c>
      <c r="N35" s="23">
        <v>4.4540649433831278E-2</v>
      </c>
      <c r="O35" s="23">
        <v>2.032465968956286E-2</v>
      </c>
      <c r="P35" s="23">
        <v>5.4345275126054554E-2</v>
      </c>
      <c r="Q35" s="23">
        <v>3.6196409126346724E-2</v>
      </c>
      <c r="R35" s="23">
        <v>4.3356455100295496E-2</v>
      </c>
      <c r="S35" s="23">
        <v>3.815880786734667E-2</v>
      </c>
      <c r="T35" s="23">
        <v>3.141764027882285E-2</v>
      </c>
      <c r="U35" s="23">
        <v>6.1046455654660291E-2</v>
      </c>
      <c r="V35" s="23">
        <v>7.1004400257103029E-2</v>
      </c>
      <c r="W35" s="23">
        <v>5.6170788233153537E-2</v>
      </c>
    </row>
    <row r="36" spans="1:23" ht="15" thickBot="1" x14ac:dyDescent="0.35">
      <c r="A36" s="19" t="s">
        <v>680</v>
      </c>
      <c r="B36" s="23">
        <v>9.4990787624813416E-2</v>
      </c>
      <c r="C36" s="23">
        <v>0.11607567395517993</v>
      </c>
      <c r="D36" s="23">
        <v>0.11959614967707694</v>
      </c>
      <c r="E36" s="23">
        <v>9.2501399612750349E-2</v>
      </c>
      <c r="F36" s="23">
        <v>0.10331399756703522</v>
      </c>
      <c r="G36" s="23">
        <v>0.10718498132259867</v>
      </c>
      <c r="H36" s="23">
        <v>7.9316422144319373E-2</v>
      </c>
      <c r="I36" s="23">
        <v>0.14109797827791121</v>
      </c>
      <c r="J36" s="23">
        <v>0.31345350921046411</v>
      </c>
      <c r="K36" s="23">
        <v>0.16285787090065201</v>
      </c>
      <c r="L36" s="23">
        <v>7.991031218349734E-2</v>
      </c>
      <c r="M36" s="23">
        <v>0.1596442490049752</v>
      </c>
      <c r="N36" s="23">
        <v>0.10397601723283538</v>
      </c>
      <c r="O36" s="23">
        <v>0.14170311808821495</v>
      </c>
      <c r="P36" s="23">
        <v>0.2046561137628343</v>
      </c>
      <c r="Q36" s="23">
        <v>9.5786924206986618E-2</v>
      </c>
      <c r="R36" s="23">
        <v>0.1083949337885934</v>
      </c>
      <c r="S36" s="23">
        <v>0.11915785879931999</v>
      </c>
      <c r="T36" s="23">
        <v>9.2662915276732691E-2</v>
      </c>
      <c r="U36" s="23">
        <v>0.10288763525443054</v>
      </c>
      <c r="V36" s="23">
        <v>0.13414825125804855</v>
      </c>
      <c r="W36" s="23">
        <v>9.1403832978967661E-2</v>
      </c>
    </row>
    <row r="37" spans="1:23" ht="15" thickBot="1" x14ac:dyDescent="0.35">
      <c r="A37" s="19" t="s">
        <v>681</v>
      </c>
      <c r="B37" s="23">
        <v>3.9737500000000009E-2</v>
      </c>
      <c r="C37" s="23">
        <v>4.7545833333333329E-2</v>
      </c>
      <c r="D37" s="23">
        <v>4.3900000000000008E-2</v>
      </c>
      <c r="E37" s="23">
        <v>4.0600000000000011E-2</v>
      </c>
      <c r="F37" s="23">
        <v>3.7637500000000004E-2</v>
      </c>
      <c r="G37" s="23">
        <v>4.7533333333333316E-2</v>
      </c>
      <c r="H37" s="23">
        <v>4.3595833333333334E-2</v>
      </c>
      <c r="I37" s="23">
        <v>4.8820833333333327E-2</v>
      </c>
      <c r="J37" s="23">
        <v>4.7912500000000004E-2</v>
      </c>
      <c r="K37" s="23">
        <v>4.6937499999999993E-2</v>
      </c>
      <c r="L37" s="23">
        <v>4.7733333333333322E-2</v>
      </c>
      <c r="M37" s="23">
        <v>5.1662500000000014E-2</v>
      </c>
      <c r="N37" s="23">
        <v>4.3825000000000003E-2</v>
      </c>
      <c r="O37" s="23">
        <v>4.4687499999999991E-2</v>
      </c>
      <c r="P37" s="23">
        <v>4.6624999999999986E-2</v>
      </c>
      <c r="Q37" s="23">
        <v>4.1966666666666666E-2</v>
      </c>
      <c r="R37" s="23">
        <v>2.9133333333333324E-2</v>
      </c>
      <c r="S37" s="23">
        <v>3.7900000000000003E-2</v>
      </c>
      <c r="T37" s="23">
        <v>3.2200000000000006E-2</v>
      </c>
      <c r="U37" s="23">
        <v>4.830000000000001E-2</v>
      </c>
      <c r="V37" s="23">
        <v>4.2641666666666654E-2</v>
      </c>
      <c r="W37" s="23">
        <v>3.9045833333333335E-2</v>
      </c>
    </row>
    <row r="38" spans="1:23" ht="15" thickBot="1" x14ac:dyDescent="0.35">
      <c r="A38" s="19" t="s">
        <v>682</v>
      </c>
      <c r="B38" s="23">
        <v>8.6958333333333346E-2</v>
      </c>
      <c r="C38" s="23">
        <v>8.8783333333333325E-2</v>
      </c>
      <c r="D38" s="23">
        <v>8.8495833333333329E-2</v>
      </c>
      <c r="E38" s="23">
        <v>8.8783333333333325E-2</v>
      </c>
      <c r="F38" s="23">
        <v>8.8783333333333325E-2</v>
      </c>
      <c r="G38" s="23">
        <v>8.7920833333333337E-2</v>
      </c>
      <c r="H38" s="23">
        <v>8.9437499999999989E-2</v>
      </c>
      <c r="I38" s="23">
        <v>5.8787500000000006E-2</v>
      </c>
      <c r="J38" s="23">
        <v>0.16307083333333333</v>
      </c>
      <c r="K38" s="23">
        <v>8.310833333333334E-2</v>
      </c>
      <c r="L38" s="23">
        <v>8.8783333333333325E-2</v>
      </c>
      <c r="M38" s="23">
        <v>9.1424999999999992E-2</v>
      </c>
      <c r="N38" s="23">
        <v>8.0595833333333325E-2</v>
      </c>
      <c r="O38" s="23">
        <v>7.1133333333333326E-2</v>
      </c>
      <c r="P38" s="23">
        <v>9.1245833333333332E-2</v>
      </c>
      <c r="Q38" s="23">
        <v>6.6174999999999998E-2</v>
      </c>
      <c r="R38" s="23">
        <v>9.1424999999999992E-2</v>
      </c>
      <c r="S38" s="23">
        <v>8.0770833333333319E-2</v>
      </c>
      <c r="T38" s="23">
        <v>7.8099999999999989E-2</v>
      </c>
      <c r="U38" s="23">
        <v>8.8783333333333325E-2</v>
      </c>
      <c r="V38" s="23">
        <v>8.8783333333333325E-2</v>
      </c>
      <c r="W38" s="23">
        <v>8.0483333333333323E-2</v>
      </c>
    </row>
    <row r="39" spans="1:23" ht="15" thickBot="1" x14ac:dyDescent="0.35">
      <c r="A39" s="19" t="s">
        <v>683</v>
      </c>
      <c r="B39" s="23">
        <v>4.7220833333333337E-2</v>
      </c>
      <c r="C39" s="23">
        <v>4.1237499999999996E-2</v>
      </c>
      <c r="D39" s="23">
        <v>4.4595833333333321E-2</v>
      </c>
      <c r="E39" s="23">
        <v>4.8183333333333314E-2</v>
      </c>
      <c r="F39" s="23">
        <v>5.1145833333333321E-2</v>
      </c>
      <c r="G39" s="23">
        <v>4.0387500000000021E-2</v>
      </c>
      <c r="H39" s="23">
        <v>4.5841666666666656E-2</v>
      </c>
      <c r="I39" s="23">
        <v>9.9666666666666792E-3</v>
      </c>
      <c r="J39" s="23">
        <v>0.11515833333333333</v>
      </c>
      <c r="K39" s="23">
        <v>3.6170833333333346E-2</v>
      </c>
      <c r="L39" s="23">
        <v>4.1050000000000003E-2</v>
      </c>
      <c r="M39" s="23">
        <v>3.9762499999999978E-2</v>
      </c>
      <c r="N39" s="23">
        <v>3.6770833333333322E-2</v>
      </c>
      <c r="O39" s="23">
        <v>2.6445833333333335E-2</v>
      </c>
      <c r="P39" s="23">
        <v>4.4620833333333346E-2</v>
      </c>
      <c r="Q39" s="23">
        <v>2.4208333333333332E-2</v>
      </c>
      <c r="R39" s="23">
        <v>6.2291666666666669E-2</v>
      </c>
      <c r="S39" s="23">
        <v>4.2870833333333316E-2</v>
      </c>
      <c r="T39" s="23">
        <v>4.5899999999999982E-2</v>
      </c>
      <c r="U39" s="23">
        <v>4.0483333333333316E-2</v>
      </c>
      <c r="V39" s="23">
        <v>4.6141666666666671E-2</v>
      </c>
      <c r="W39" s="23">
        <v>4.1437499999999988E-2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9A17-D964-4A5B-B72E-99BB614D63DA}">
  <dimension ref="A1:Q36"/>
  <sheetViews>
    <sheetView workbookViewId="0">
      <selection activeCell="B7" sqref="B7"/>
    </sheetView>
  </sheetViews>
  <sheetFormatPr defaultRowHeight="14.4" x14ac:dyDescent="0.3"/>
  <cols>
    <col min="1" max="1" width="36.21875" customWidth="1"/>
    <col min="2" max="2" width="47.88671875" customWidth="1"/>
  </cols>
  <sheetData>
    <row r="1" spans="1:17" x14ac:dyDescent="0.3">
      <c r="A1" s="17" t="s">
        <v>685</v>
      </c>
      <c r="B1" s="17" t="s">
        <v>684</v>
      </c>
      <c r="C1" s="17" t="s">
        <v>672</v>
      </c>
      <c r="D1" s="17" t="s">
        <v>673</v>
      </c>
      <c r="E1" s="17" t="s">
        <v>674</v>
      </c>
      <c r="F1" s="17" t="s">
        <v>675</v>
      </c>
      <c r="G1" s="17" t="s">
        <v>676</v>
      </c>
      <c r="H1" s="17" t="s">
        <v>677</v>
      </c>
      <c r="I1" s="17" t="s">
        <v>678</v>
      </c>
      <c r="J1" s="17" t="s">
        <v>679</v>
      </c>
      <c r="K1" s="17" t="s">
        <v>680</v>
      </c>
      <c r="L1" s="17" t="s">
        <v>694</v>
      </c>
      <c r="M1" s="17" t="s">
        <v>695</v>
      </c>
      <c r="N1" s="17" t="s">
        <v>683</v>
      </c>
    </row>
    <row r="2" spans="1:17" ht="15.6" x14ac:dyDescent="0.3">
      <c r="A2" s="17" t="s">
        <v>480</v>
      </c>
      <c r="B2" s="24" t="s">
        <v>650</v>
      </c>
      <c r="C2" s="17">
        <v>36</v>
      </c>
      <c r="D2" s="17">
        <v>0.10358055555555555</v>
      </c>
      <c r="E2" s="17">
        <v>5.1250000000000011E-2</v>
      </c>
      <c r="F2" s="17">
        <v>2.0499999999999963E-3</v>
      </c>
      <c r="G2" s="17">
        <v>0.77116666666666678</v>
      </c>
      <c r="H2" s="17">
        <v>0.76911666666666678</v>
      </c>
      <c r="I2" s="17">
        <v>0.14723069606939773</v>
      </c>
      <c r="J2" s="17">
        <v>5.3764854993505369E-2</v>
      </c>
      <c r="K2" s="17">
        <v>0.15339625611760574</v>
      </c>
      <c r="L2" s="17">
        <v>4.3900000000000008E-2</v>
      </c>
      <c r="M2" s="17">
        <v>8.9437499999999989E-2</v>
      </c>
      <c r="N2" s="17">
        <v>4.5537499999999981E-2</v>
      </c>
      <c r="Q2" s="17">
        <v>8</v>
      </c>
    </row>
    <row r="3" spans="1:17" x14ac:dyDescent="0.3">
      <c r="A3" s="17" t="s">
        <v>481</v>
      </c>
      <c r="B3" s="17" t="s">
        <v>651</v>
      </c>
      <c r="C3" s="17">
        <v>18</v>
      </c>
      <c r="D3" s="17">
        <v>0.10752407407407411</v>
      </c>
      <c r="E3" s="17">
        <v>4.9425000000000011E-2</v>
      </c>
      <c r="F3" s="17">
        <v>2.0499999999999963E-3</v>
      </c>
      <c r="G3" s="17">
        <v>0.77116666666666678</v>
      </c>
      <c r="H3" s="17">
        <v>0.76911666666666678</v>
      </c>
      <c r="I3" s="17">
        <v>0.1839354178738794</v>
      </c>
      <c r="J3" s="17">
        <v>1.6055142678639944E-2</v>
      </c>
      <c r="K3" s="17">
        <v>0.19899300546950827</v>
      </c>
      <c r="L3" s="17">
        <v>4.4808333333333339E-2</v>
      </c>
      <c r="M3" s="17">
        <v>7.1250000000000008E-2</v>
      </c>
      <c r="N3" s="17">
        <v>2.6441666666666669E-2</v>
      </c>
      <c r="Q3" s="17">
        <v>9</v>
      </c>
    </row>
    <row r="4" spans="1:17" x14ac:dyDescent="0.3">
      <c r="A4" s="17" t="s">
        <v>482</v>
      </c>
      <c r="B4" s="17" t="s">
        <v>652</v>
      </c>
      <c r="C4" s="17">
        <v>18</v>
      </c>
      <c r="D4" s="17">
        <v>9.9637037037037038E-2</v>
      </c>
      <c r="E4" s="17">
        <v>6.5225000000000005E-2</v>
      </c>
      <c r="F4" s="17">
        <v>3.6099999999999993E-2</v>
      </c>
      <c r="G4" s="17">
        <v>0.3777833333333333</v>
      </c>
      <c r="H4" s="17">
        <v>0.34168333333333334</v>
      </c>
      <c r="I4" s="17">
        <v>0.10374823371290502</v>
      </c>
      <c r="J4" s="17">
        <v>4.804425419197296E-2</v>
      </c>
      <c r="K4" s="17">
        <v>0.1512298198821011</v>
      </c>
      <c r="L4" s="17">
        <v>4.5325000000000011E-2</v>
      </c>
      <c r="M4" s="17">
        <v>9.1475000000000001E-2</v>
      </c>
      <c r="N4" s="17">
        <v>4.614999999999999E-2</v>
      </c>
      <c r="Q4" s="17">
        <v>10</v>
      </c>
    </row>
    <row r="5" spans="1:17" x14ac:dyDescent="0.3">
      <c r="A5" s="17" t="s">
        <v>483</v>
      </c>
      <c r="B5" s="17" t="s">
        <v>653</v>
      </c>
      <c r="C5" s="17">
        <v>18</v>
      </c>
      <c r="D5" s="17">
        <v>0.11352592592592593</v>
      </c>
      <c r="E5" s="17">
        <v>4.9250000000000002E-2</v>
      </c>
      <c r="F5" s="17">
        <v>3.6099999999999993E-2</v>
      </c>
      <c r="G5" s="17">
        <v>0.77116666666666678</v>
      </c>
      <c r="H5" s="17">
        <v>0.73506666666666676</v>
      </c>
      <c r="I5" s="17">
        <v>0.1819108365607793</v>
      </c>
      <c r="J5" s="17">
        <v>2.3063795131338577E-2</v>
      </c>
      <c r="K5" s="17">
        <v>0.20398805672051329</v>
      </c>
      <c r="L5" s="17">
        <v>4.3900000000000008E-2</v>
      </c>
      <c r="M5" s="17">
        <v>8.6112499999999995E-2</v>
      </c>
      <c r="N5" s="17">
        <v>4.2212499999999986E-2</v>
      </c>
      <c r="Q5" s="17">
        <v>11</v>
      </c>
    </row>
    <row r="6" spans="1:17" x14ac:dyDescent="0.3">
      <c r="A6" s="17" t="s">
        <v>484</v>
      </c>
      <c r="B6" s="17" t="s">
        <v>687</v>
      </c>
      <c r="C6" s="17">
        <v>18</v>
      </c>
      <c r="D6" s="17">
        <v>9.3635185185185196E-2</v>
      </c>
      <c r="E6" s="17">
        <v>5.2350000000000008E-2</v>
      </c>
      <c r="F6" s="17">
        <v>2.0499999999999963E-3</v>
      </c>
      <c r="G6" s="17">
        <v>0.3777833333333333</v>
      </c>
      <c r="H6" s="17">
        <v>0.37573333333333331</v>
      </c>
      <c r="I6" s="17">
        <v>0.10643240312178154</v>
      </c>
      <c r="J6" s="17">
        <v>4.0707596295955134E-2</v>
      </c>
      <c r="K6" s="17">
        <v>0.14656277407441526</v>
      </c>
      <c r="L6" s="17">
        <v>4.9600000000000019E-2</v>
      </c>
      <c r="M6" s="17">
        <v>9.0745833333333317E-2</v>
      </c>
      <c r="N6" s="17">
        <v>4.1145833333333298E-2</v>
      </c>
      <c r="Q6" s="17">
        <v>12</v>
      </c>
    </row>
    <row r="7" spans="1:17" x14ac:dyDescent="0.3">
      <c r="A7" s="17" t="s">
        <v>485</v>
      </c>
      <c r="B7" s="17" t="s">
        <v>628</v>
      </c>
      <c r="C7" s="17">
        <v>78</v>
      </c>
      <c r="D7" s="17">
        <v>9.7647649572649556E-2</v>
      </c>
      <c r="E7" s="17">
        <v>5.2350000000000008E-2</v>
      </c>
      <c r="F7" s="17">
        <v>2.0499999999999963E-3</v>
      </c>
      <c r="G7" s="17">
        <v>0.77116666666666678</v>
      </c>
      <c r="H7" s="17">
        <v>0.76911666666666678</v>
      </c>
      <c r="I7" s="17">
        <v>0.13480984166858762</v>
      </c>
      <c r="J7" s="17">
        <v>6.72527267676572E-2</v>
      </c>
      <c r="K7" s="17">
        <v>0.12804257237764191</v>
      </c>
      <c r="L7" s="17">
        <v>4.9250000000000002E-2</v>
      </c>
      <c r="M7" s="17">
        <v>8.8783333333333325E-2</v>
      </c>
      <c r="N7" s="17">
        <v>3.9533333333333323E-2</v>
      </c>
      <c r="Q7" s="17">
        <v>13</v>
      </c>
    </row>
    <row r="8" spans="1:17" ht="15.6" x14ac:dyDescent="0.3">
      <c r="A8" s="17" t="s">
        <v>486</v>
      </c>
      <c r="B8" s="25" t="s">
        <v>660</v>
      </c>
      <c r="C8" s="17">
        <v>39</v>
      </c>
      <c r="D8" s="17">
        <v>8.0611965811965808E-2</v>
      </c>
      <c r="E8" s="17">
        <v>5.2350000000000008E-2</v>
      </c>
      <c r="F8" s="17">
        <v>2.0499999999999963E-3</v>
      </c>
      <c r="G8" s="17">
        <v>0.3777833333333333</v>
      </c>
      <c r="H8" s="17">
        <v>0.37573333333333331</v>
      </c>
      <c r="I8" s="17">
        <v>8.2742480352028497E-2</v>
      </c>
      <c r="J8" s="17">
        <v>5.3789956521457544E-2</v>
      </c>
      <c r="K8" s="17">
        <v>0.10743397510247407</v>
      </c>
      <c r="L8" s="17">
        <v>4.3900000000000008E-2</v>
      </c>
      <c r="M8" s="17">
        <v>8.5583333333333317E-2</v>
      </c>
      <c r="N8" s="17">
        <v>4.1683333333333308E-2</v>
      </c>
      <c r="Q8" s="17">
        <v>14</v>
      </c>
    </row>
    <row r="9" spans="1:17" ht="15.6" x14ac:dyDescent="0.3">
      <c r="A9" s="17" t="s">
        <v>487</v>
      </c>
      <c r="B9" s="25" t="s">
        <v>661</v>
      </c>
      <c r="C9" s="17">
        <v>39</v>
      </c>
      <c r="D9" s="17">
        <v>0.11468333333333335</v>
      </c>
      <c r="E9" s="17">
        <v>5.2350000000000008E-2</v>
      </c>
      <c r="F9" s="17">
        <v>7.1999999999999981E-3</v>
      </c>
      <c r="G9" s="17">
        <v>0.77116666666666678</v>
      </c>
      <c r="H9" s="17">
        <v>0.76396666666666679</v>
      </c>
      <c r="I9" s="17">
        <v>0.17141651135610322</v>
      </c>
      <c r="J9" s="17">
        <v>5.9116528463829587E-2</v>
      </c>
      <c r="K9" s="17">
        <v>0.1702501382028371</v>
      </c>
      <c r="L9" s="17">
        <v>4.9425000000000011E-2</v>
      </c>
      <c r="M9" s="17">
        <v>8.8783333333333325E-2</v>
      </c>
      <c r="N9" s="17">
        <v>3.9358333333333315E-2</v>
      </c>
      <c r="Q9" s="17">
        <v>15</v>
      </c>
    </row>
    <row r="10" spans="1:17" ht="15.6" x14ac:dyDescent="0.3">
      <c r="A10" s="17" t="s">
        <v>488</v>
      </c>
      <c r="B10" s="25" t="s">
        <v>662</v>
      </c>
      <c r="C10" s="17">
        <v>36</v>
      </c>
      <c r="D10" s="17">
        <v>9.3904629629629643E-2</v>
      </c>
      <c r="E10" s="17">
        <v>5.1949999999999996E-2</v>
      </c>
      <c r="F10" s="17">
        <v>2.0499999999999963E-3</v>
      </c>
      <c r="G10" s="17">
        <v>0.77116666666666678</v>
      </c>
      <c r="H10" s="17">
        <v>0.76911666666666678</v>
      </c>
      <c r="I10" s="17">
        <v>0.14056915784297883</v>
      </c>
      <c r="J10" s="17">
        <v>4.6342869328878752E-2</v>
      </c>
      <c r="K10" s="17">
        <v>0.14146638993038052</v>
      </c>
      <c r="L10" s="17">
        <v>4.6624999999999986E-2</v>
      </c>
      <c r="M10" s="17">
        <v>8.0483333333333323E-2</v>
      </c>
      <c r="N10" s="17">
        <v>3.3858333333333338E-2</v>
      </c>
      <c r="Q10" s="17">
        <v>16</v>
      </c>
    </row>
    <row r="11" spans="1:17" ht="15.6" x14ac:dyDescent="0.3">
      <c r="A11" s="17" t="s">
        <v>489</v>
      </c>
      <c r="B11" s="25" t="s">
        <v>688</v>
      </c>
      <c r="C11" s="17">
        <v>42</v>
      </c>
      <c r="D11" s="17">
        <v>0.10085595238095234</v>
      </c>
      <c r="E11" s="17">
        <v>5.884166666666666E-2</v>
      </c>
      <c r="F11" s="17">
        <v>7.1999999999999981E-3</v>
      </c>
      <c r="G11" s="17">
        <v>0.77116666666666678</v>
      </c>
      <c r="H11" s="17">
        <v>0.76396666666666679</v>
      </c>
      <c r="I11" s="17">
        <v>0.13130198167024848</v>
      </c>
      <c r="J11" s="17">
        <v>5.9939374504544722E-2</v>
      </c>
      <c r="K11" s="17">
        <v>0.14177253025735995</v>
      </c>
      <c r="L11" s="17">
        <v>4.9337500000000006E-2</v>
      </c>
      <c r="M11" s="17">
        <v>9.0745833333333317E-2</v>
      </c>
      <c r="N11" s="17">
        <v>4.1408333333333311E-2</v>
      </c>
      <c r="Q11" s="17">
        <v>17</v>
      </c>
    </row>
    <row r="12" spans="1:17" ht="15.6" x14ac:dyDescent="0.3">
      <c r="A12" s="17" t="s">
        <v>490</v>
      </c>
      <c r="B12" s="25" t="s">
        <v>629</v>
      </c>
      <c r="C12" s="17">
        <v>78</v>
      </c>
      <c r="D12" s="17">
        <v>7.9357692307692296E-2</v>
      </c>
      <c r="E12" s="17">
        <v>6.1225000000000016E-2</v>
      </c>
      <c r="F12" s="17">
        <v>6.2000000000000111E-3</v>
      </c>
      <c r="G12" s="17">
        <v>0.77116666666666678</v>
      </c>
      <c r="H12" s="17">
        <v>0.76496666666666679</v>
      </c>
      <c r="I12" s="17">
        <v>9.8716608824497537E-2</v>
      </c>
      <c r="J12" s="17">
        <v>5.7100536096742011E-2</v>
      </c>
      <c r="K12" s="17">
        <v>0.10161484851864258</v>
      </c>
      <c r="L12" s="17">
        <v>4.3675000000000005E-2</v>
      </c>
      <c r="M12" s="17">
        <v>8.5175000000000015E-2</v>
      </c>
      <c r="N12" s="17">
        <v>4.1500000000000009E-2</v>
      </c>
      <c r="Q12" s="17">
        <v>18</v>
      </c>
    </row>
    <row r="13" spans="1:17" ht="15.6" x14ac:dyDescent="0.3">
      <c r="A13" s="17" t="s">
        <v>491</v>
      </c>
      <c r="B13" s="25" t="s">
        <v>663</v>
      </c>
      <c r="C13" s="17">
        <v>39</v>
      </c>
      <c r="D13" s="17">
        <v>7.0758547008546988E-2</v>
      </c>
      <c r="E13" s="17">
        <v>6.3516666666666666E-2</v>
      </c>
      <c r="F13" s="17">
        <v>6.2000000000000111E-3</v>
      </c>
      <c r="G13" s="17">
        <v>0.3777833333333333</v>
      </c>
      <c r="H13" s="17">
        <v>0.37158333333333327</v>
      </c>
      <c r="I13" s="17">
        <v>5.8356982282899067E-2</v>
      </c>
      <c r="J13" s="17">
        <v>5.1841401736873099E-2</v>
      </c>
      <c r="K13" s="17">
        <v>8.9675692280220876E-2</v>
      </c>
      <c r="L13" s="17">
        <v>3.9916666666666684E-2</v>
      </c>
      <c r="M13" s="17">
        <v>8.8783333333333325E-2</v>
      </c>
      <c r="N13" s="17">
        <v>4.8866666666666642E-2</v>
      </c>
      <c r="Q13" s="17">
        <v>19</v>
      </c>
    </row>
    <row r="14" spans="1:17" ht="15.6" x14ac:dyDescent="0.3">
      <c r="A14" s="17" t="s">
        <v>492</v>
      </c>
      <c r="B14" s="25" t="s">
        <v>664</v>
      </c>
      <c r="C14" s="17">
        <v>39</v>
      </c>
      <c r="D14" s="17">
        <v>8.7956837606837604E-2</v>
      </c>
      <c r="E14" s="17">
        <v>6.1100000000000029E-2</v>
      </c>
      <c r="F14" s="17">
        <v>7.1999999999999981E-3</v>
      </c>
      <c r="G14" s="17">
        <v>0.77116666666666678</v>
      </c>
      <c r="H14" s="17">
        <v>0.76396666666666679</v>
      </c>
      <c r="I14" s="17">
        <v>0.12723625436840322</v>
      </c>
      <c r="J14" s="17">
        <v>4.671161529492128E-2</v>
      </c>
      <c r="K14" s="17">
        <v>0.12920205991875394</v>
      </c>
      <c r="L14" s="17">
        <v>4.800833333333334E-2</v>
      </c>
      <c r="M14" s="17">
        <v>7.9499999999999987E-2</v>
      </c>
      <c r="N14" s="17">
        <v>3.1491666666666647E-2</v>
      </c>
      <c r="Q14" s="17">
        <v>20</v>
      </c>
    </row>
    <row r="15" spans="1:17" ht="15.6" x14ac:dyDescent="0.3">
      <c r="A15" s="17" t="s">
        <v>493</v>
      </c>
      <c r="B15" s="25" t="s">
        <v>665</v>
      </c>
      <c r="C15" s="17">
        <v>36</v>
      </c>
      <c r="D15" s="17">
        <v>9.9823148148148147E-2</v>
      </c>
      <c r="E15" s="17">
        <v>6.6283333333333333E-2</v>
      </c>
      <c r="F15" s="17">
        <v>6.2000000000000111E-3</v>
      </c>
      <c r="G15" s="17">
        <v>0.77116666666666678</v>
      </c>
      <c r="H15" s="17">
        <v>0.76496666666666679</v>
      </c>
      <c r="I15" s="17">
        <v>0.14074828134944267</v>
      </c>
      <c r="J15" s="17">
        <v>5.2200781172295881E-2</v>
      </c>
      <c r="K15" s="17">
        <v>0.14744551512400042</v>
      </c>
      <c r="L15" s="17">
        <v>4.7912500000000004E-2</v>
      </c>
      <c r="M15" s="17">
        <v>8.3433333333333318E-2</v>
      </c>
      <c r="N15" s="17">
        <v>3.5520833333333314E-2</v>
      </c>
      <c r="Q15" s="17">
        <v>21</v>
      </c>
    </row>
    <row r="16" spans="1:17" ht="15.6" x14ac:dyDescent="0.3">
      <c r="A16" s="17" t="s">
        <v>494</v>
      </c>
      <c r="B16" s="25" t="s">
        <v>689</v>
      </c>
      <c r="C16" s="17">
        <v>42</v>
      </c>
      <c r="D16" s="17">
        <v>6.1815873015872998E-2</v>
      </c>
      <c r="E16" s="17">
        <v>5.8308333333333351E-2</v>
      </c>
      <c r="F16" s="17">
        <v>7.1999999999999981E-3</v>
      </c>
      <c r="G16" s="17">
        <v>0.1258333333333333</v>
      </c>
      <c r="H16" s="17">
        <v>0.1186333333333333</v>
      </c>
      <c r="I16" s="17">
        <v>2.6598983963005848E-2</v>
      </c>
      <c r="J16" s="17">
        <v>5.352704610776967E-2</v>
      </c>
      <c r="K16" s="17">
        <v>7.0104699923976332E-2</v>
      </c>
      <c r="L16" s="17">
        <v>4.3562499999999983E-2</v>
      </c>
      <c r="M16" s="17">
        <v>8.3583333333333343E-2</v>
      </c>
      <c r="N16" s="17">
        <v>4.002083333333336E-2</v>
      </c>
      <c r="Q16" s="17">
        <v>22</v>
      </c>
    </row>
    <row r="17" spans="1:17" ht="15.6" x14ac:dyDescent="0.3">
      <c r="A17" s="17" t="s">
        <v>495</v>
      </c>
      <c r="B17" s="25" t="s">
        <v>630</v>
      </c>
      <c r="C17" s="17">
        <v>36</v>
      </c>
      <c r="D17" s="17">
        <v>8.0649074074074095E-2</v>
      </c>
      <c r="E17" s="17">
        <v>5.0975000000000013E-2</v>
      </c>
      <c r="F17" s="17">
        <v>2.0499999999999963E-3</v>
      </c>
      <c r="G17" s="17">
        <v>0.3777833333333333</v>
      </c>
      <c r="H17" s="17">
        <v>0.37573333333333331</v>
      </c>
      <c r="I17" s="17">
        <v>9.8450607061938408E-2</v>
      </c>
      <c r="J17" s="17">
        <v>4.7338181084490685E-2</v>
      </c>
      <c r="K17" s="17">
        <v>0.11395996706365751</v>
      </c>
      <c r="L17" s="17">
        <v>2.6633333333333339E-2</v>
      </c>
      <c r="M17" s="17">
        <v>9.1424999999999992E-2</v>
      </c>
      <c r="N17" s="17">
        <v>6.479166666666665E-2</v>
      </c>
      <c r="Q17" s="17">
        <v>23</v>
      </c>
    </row>
    <row r="18" spans="1:17" ht="15.6" x14ac:dyDescent="0.3">
      <c r="A18" s="17" t="s">
        <v>496</v>
      </c>
      <c r="B18" s="25" t="s">
        <v>666</v>
      </c>
      <c r="C18" s="17">
        <v>18</v>
      </c>
      <c r="D18" s="17">
        <v>7.4217592592592585E-2</v>
      </c>
      <c r="E18" s="17">
        <v>5.6091666666666665E-2</v>
      </c>
      <c r="F18" s="17">
        <v>6.2000000000000111E-3</v>
      </c>
      <c r="G18" s="17">
        <v>0.3777833333333333</v>
      </c>
      <c r="H18" s="17">
        <v>0.37158333333333327</v>
      </c>
      <c r="I18" s="17">
        <v>8.1702366641233246E-2</v>
      </c>
      <c r="J18" s="17">
        <v>3.3587961521344495E-2</v>
      </c>
      <c r="K18" s="17">
        <v>0.11484722366384068</v>
      </c>
      <c r="L18" s="17">
        <v>3.5858333333333325E-2</v>
      </c>
      <c r="M18" s="17">
        <v>8.8150000000000006E-2</v>
      </c>
      <c r="N18" s="17">
        <v>5.2291666666666681E-2</v>
      </c>
      <c r="Q18" s="17">
        <v>24</v>
      </c>
    </row>
    <row r="19" spans="1:17" ht="15.6" x14ac:dyDescent="0.3">
      <c r="A19" s="17" t="s">
        <v>497</v>
      </c>
      <c r="B19" s="25" t="s">
        <v>667</v>
      </c>
      <c r="C19" s="17">
        <v>18</v>
      </c>
      <c r="D19" s="17">
        <v>8.708055555555555E-2</v>
      </c>
      <c r="E19" s="17">
        <v>4.2674999999999998E-2</v>
      </c>
      <c r="F19" s="17">
        <v>2.0499999999999963E-3</v>
      </c>
      <c r="G19" s="17">
        <v>0.3777833333333333</v>
      </c>
      <c r="H19" s="17">
        <v>0.37573333333333331</v>
      </c>
      <c r="I19" s="17">
        <v>0.11485783145296809</v>
      </c>
      <c r="J19" s="17">
        <v>2.9963099728730701E-2</v>
      </c>
      <c r="K19" s="17">
        <v>0.14419801138238039</v>
      </c>
      <c r="L19" s="17">
        <v>2.372500000000001E-2</v>
      </c>
      <c r="M19" s="17">
        <v>8.8074999999999987E-2</v>
      </c>
      <c r="N19" s="17">
        <v>6.4349999999999977E-2</v>
      </c>
      <c r="Q19" s="17">
        <v>25</v>
      </c>
    </row>
    <row r="20" spans="1:17" ht="15.6" x14ac:dyDescent="0.3">
      <c r="A20" s="17" t="s">
        <v>498</v>
      </c>
      <c r="B20" s="25" t="s">
        <v>668</v>
      </c>
      <c r="C20" s="17">
        <v>18</v>
      </c>
      <c r="D20" s="17">
        <v>0.10975925925925926</v>
      </c>
      <c r="E20" s="17">
        <v>7.0808333333333334E-2</v>
      </c>
      <c r="F20" s="17">
        <v>2.0499999999999963E-3</v>
      </c>
      <c r="G20" s="17">
        <v>0.3777833333333333</v>
      </c>
      <c r="H20" s="17">
        <v>0.37573333333333331</v>
      </c>
      <c r="I20" s="17">
        <v>0.12680808066124039</v>
      </c>
      <c r="J20" s="17">
        <v>4.6699084310555986E-2</v>
      </c>
      <c r="K20" s="17">
        <v>0.17281943420796253</v>
      </c>
      <c r="L20" s="17">
        <v>3.9199999999999999E-2</v>
      </c>
      <c r="M20" s="17">
        <v>9.1475000000000001E-2</v>
      </c>
      <c r="N20" s="17">
        <v>5.2275000000000002E-2</v>
      </c>
      <c r="Q20" s="17">
        <v>26</v>
      </c>
    </row>
    <row r="21" spans="1:17" ht="15.6" x14ac:dyDescent="0.3">
      <c r="A21" s="17" t="s">
        <v>499</v>
      </c>
      <c r="B21" s="25" t="s">
        <v>690</v>
      </c>
      <c r="C21" s="17">
        <v>18</v>
      </c>
      <c r="D21" s="17">
        <v>5.1538888888888884E-2</v>
      </c>
      <c r="E21" s="17">
        <v>3.5991666666666665E-2</v>
      </c>
      <c r="F21" s="17">
        <v>2.0499999999999963E-3</v>
      </c>
      <c r="G21" s="17">
        <v>0.19208333333333333</v>
      </c>
      <c r="H21" s="17">
        <v>0.19003333333333333</v>
      </c>
      <c r="I21" s="17">
        <v>4.5611433608438515E-2</v>
      </c>
      <c r="J21" s="17">
        <v>2.8856856576665396E-2</v>
      </c>
      <c r="K21" s="17">
        <v>7.4220921201112372E-2</v>
      </c>
      <c r="L21" s="17">
        <v>2.3608333333333339E-2</v>
      </c>
      <c r="M21" s="17">
        <v>6.0220833333333341E-2</v>
      </c>
      <c r="N21" s="17">
        <v>3.6612500000000006E-2</v>
      </c>
      <c r="Q21" s="17">
        <v>27</v>
      </c>
    </row>
    <row r="22" spans="1:17" ht="15.6" x14ac:dyDescent="0.3">
      <c r="A22" s="17" t="s">
        <v>500</v>
      </c>
      <c r="B22" s="25" t="s">
        <v>631</v>
      </c>
      <c r="C22" s="17">
        <v>36</v>
      </c>
      <c r="D22" s="17">
        <v>6.3733796296296302E-2</v>
      </c>
      <c r="E22" s="17">
        <v>5.0975000000000013E-2</v>
      </c>
      <c r="F22" s="17">
        <v>2.0499999999999963E-3</v>
      </c>
      <c r="G22" s="17">
        <v>0.3777833333333333</v>
      </c>
      <c r="H22" s="17">
        <v>0.37573333333333331</v>
      </c>
      <c r="I22" s="17">
        <v>6.0558843020928892E-2</v>
      </c>
      <c r="J22" s="17">
        <v>4.3243631739220342E-2</v>
      </c>
      <c r="K22" s="17">
        <v>8.4223960853372262E-2</v>
      </c>
      <c r="L22" s="17">
        <v>3.8250000000000006E-2</v>
      </c>
      <c r="M22" s="17">
        <v>8.2383333333333322E-2</v>
      </c>
      <c r="N22" s="17">
        <v>4.4133333333333316E-2</v>
      </c>
      <c r="Q22" s="17">
        <v>28</v>
      </c>
    </row>
    <row r="23" spans="1:17" ht="15.6" x14ac:dyDescent="0.3">
      <c r="A23" s="17" t="s">
        <v>501</v>
      </c>
      <c r="B23" s="25" t="s">
        <v>669</v>
      </c>
      <c r="C23" s="17">
        <v>18</v>
      </c>
      <c r="D23" s="17">
        <v>6.5155555555555578E-2</v>
      </c>
      <c r="E23" s="17">
        <v>4.611666666666666E-2</v>
      </c>
      <c r="F23" s="17">
        <v>2.0499999999999963E-3</v>
      </c>
      <c r="G23" s="17">
        <v>0.3777833333333333</v>
      </c>
      <c r="H23" s="17">
        <v>0.37573333333333331</v>
      </c>
      <c r="I23" s="17">
        <v>8.337517420193262E-2</v>
      </c>
      <c r="J23" s="17">
        <v>2.3694056855027457E-2</v>
      </c>
      <c r="K23" s="17">
        <v>0.1066170542560837</v>
      </c>
      <c r="L23" s="17">
        <v>3.8250000000000006E-2</v>
      </c>
      <c r="M23" s="17">
        <v>5.6099999999999997E-2</v>
      </c>
      <c r="N23" s="17">
        <v>1.7849999999999991E-2</v>
      </c>
      <c r="Q23" s="17">
        <v>29</v>
      </c>
    </row>
    <row r="24" spans="1:17" ht="15.6" x14ac:dyDescent="0.3">
      <c r="A24" s="17" t="s">
        <v>502</v>
      </c>
      <c r="B24" s="25" t="s">
        <v>670</v>
      </c>
      <c r="C24" s="17">
        <v>18</v>
      </c>
      <c r="D24" s="17">
        <v>6.2312037037037027E-2</v>
      </c>
      <c r="E24" s="17">
        <v>6.246666666666667E-2</v>
      </c>
      <c r="F24" s="17">
        <v>2.2716666666666677E-2</v>
      </c>
      <c r="G24" s="17">
        <v>9.4650000000000012E-2</v>
      </c>
      <c r="H24" s="17">
        <v>7.1933333333333335E-2</v>
      </c>
      <c r="I24" s="17">
        <v>2.4387999168638819E-2</v>
      </c>
      <c r="J24" s="17">
        <v>5.0184170372674961E-2</v>
      </c>
      <c r="K24" s="17">
        <v>7.4439903701399093E-2</v>
      </c>
      <c r="L24" s="17">
        <v>4.3212499999999987E-2</v>
      </c>
      <c r="M24" s="17">
        <v>8.7183333333333321E-2</v>
      </c>
      <c r="N24" s="17">
        <v>4.3970833333333334E-2</v>
      </c>
      <c r="Q24" s="17">
        <v>30</v>
      </c>
    </row>
    <row r="25" spans="1:17" ht="15.6" x14ac:dyDescent="0.3">
      <c r="A25" s="17" t="s">
        <v>503</v>
      </c>
      <c r="B25" s="25" t="s">
        <v>671</v>
      </c>
      <c r="C25" s="17">
        <v>18</v>
      </c>
      <c r="D25" s="17">
        <v>6.0160185185185178E-2</v>
      </c>
      <c r="E25" s="17">
        <v>5.7016666666666667E-2</v>
      </c>
      <c r="F25" s="17">
        <v>2.0499999999999963E-3</v>
      </c>
      <c r="G25" s="17">
        <v>0.12075</v>
      </c>
      <c r="H25" s="17">
        <v>0.1187</v>
      </c>
      <c r="I25" s="17">
        <v>2.9802750859395828E-2</v>
      </c>
      <c r="J25" s="17">
        <v>4.5339625853743792E-2</v>
      </c>
      <c r="K25" s="17">
        <v>7.4980744516626563E-2</v>
      </c>
      <c r="L25" s="17">
        <v>4.3212499999999987E-2</v>
      </c>
      <c r="M25" s="17">
        <v>8.1312499999999982E-2</v>
      </c>
      <c r="N25" s="17">
        <v>3.8099999999999995E-2</v>
      </c>
      <c r="Q25" s="17">
        <v>31</v>
      </c>
    </row>
    <row r="26" spans="1:17" ht="15.6" x14ac:dyDescent="0.3">
      <c r="A26" s="17" t="s">
        <v>504</v>
      </c>
      <c r="B26" s="25" t="s">
        <v>691</v>
      </c>
      <c r="C26" s="17">
        <v>18</v>
      </c>
      <c r="D26" s="17">
        <v>6.7307407407407385E-2</v>
      </c>
      <c r="E26" s="17">
        <v>4.5391666666666657E-2</v>
      </c>
      <c r="F26" s="17">
        <v>6.2000000000000111E-3</v>
      </c>
      <c r="G26" s="17">
        <v>0.3777833333333333</v>
      </c>
      <c r="H26" s="17">
        <v>0.37158333333333327</v>
      </c>
      <c r="I26" s="17">
        <v>8.1456902719942756E-2</v>
      </c>
      <c r="J26" s="17">
        <v>2.6799842672464186E-2</v>
      </c>
      <c r="K26" s="17">
        <v>0.10781497214235058</v>
      </c>
      <c r="L26" s="17">
        <v>3.6637499999999996E-2</v>
      </c>
      <c r="M26" s="17">
        <v>7.6124999999999998E-2</v>
      </c>
      <c r="N26" s="17">
        <v>3.9487500000000002E-2</v>
      </c>
      <c r="Q26" s="17">
        <v>32</v>
      </c>
    </row>
    <row r="27" spans="1:17" x14ac:dyDescent="0.3">
      <c r="A27" s="17" t="s">
        <v>524</v>
      </c>
      <c r="B27" s="17" t="s">
        <v>648</v>
      </c>
      <c r="C27" s="17">
        <v>156</v>
      </c>
      <c r="D27" s="17">
        <v>8.8502670940170905E-2</v>
      </c>
      <c r="E27" s="17">
        <v>5.7849999999999999E-2</v>
      </c>
      <c r="F27" s="17">
        <v>2.0499999999999963E-3</v>
      </c>
      <c r="G27" s="17">
        <v>0.77116666666666678</v>
      </c>
      <c r="H27" s="17">
        <v>0.76911666666666678</v>
      </c>
      <c r="I27" s="17">
        <v>0.11812468463475448</v>
      </c>
      <c r="J27" s="17">
        <v>6.9820360557743141E-2</v>
      </c>
      <c r="K27" s="17">
        <v>0.10718498132259867</v>
      </c>
      <c r="L27" s="17">
        <v>4.7533333333333316E-2</v>
      </c>
      <c r="M27" s="17">
        <v>8.7920833333333337E-2</v>
      </c>
      <c r="N27" s="17">
        <v>4.0387500000000021E-2</v>
      </c>
      <c r="Q27" s="17">
        <v>61</v>
      </c>
    </row>
    <row r="28" spans="1:17" x14ac:dyDescent="0.3">
      <c r="A28" s="17" t="s">
        <v>525</v>
      </c>
      <c r="B28" s="17" t="s">
        <v>654</v>
      </c>
      <c r="C28" s="17">
        <v>78</v>
      </c>
      <c r="D28" s="17">
        <v>7.5685256410256391E-2</v>
      </c>
      <c r="E28" s="17">
        <v>5.6399999999999999E-2</v>
      </c>
      <c r="F28" s="17">
        <v>2.0499999999999963E-3</v>
      </c>
      <c r="G28" s="17">
        <v>0.3777833333333333</v>
      </c>
      <c r="H28" s="17">
        <v>0.37573333333333331</v>
      </c>
      <c r="I28" s="17">
        <v>7.13017876388536E-2</v>
      </c>
      <c r="J28" s="17">
        <v>5.9609187301973322E-2</v>
      </c>
      <c r="K28" s="17">
        <v>9.1761325518539466E-2</v>
      </c>
      <c r="L28" s="17">
        <v>4.0600000000000011E-2</v>
      </c>
      <c r="M28" s="17">
        <v>8.8783333333333325E-2</v>
      </c>
      <c r="N28" s="17">
        <v>4.8183333333333314E-2</v>
      </c>
      <c r="Q28" s="17">
        <v>62</v>
      </c>
    </row>
    <row r="29" spans="1:17" x14ac:dyDescent="0.3">
      <c r="A29" s="17" t="s">
        <v>526</v>
      </c>
      <c r="B29" s="17" t="s">
        <v>655</v>
      </c>
      <c r="C29" s="17">
        <v>78</v>
      </c>
      <c r="D29" s="17">
        <v>0.10132008547008546</v>
      </c>
      <c r="E29" s="17">
        <v>5.884166666666666E-2</v>
      </c>
      <c r="F29" s="17">
        <v>7.1999999999999981E-3</v>
      </c>
      <c r="G29" s="17">
        <v>0.77116666666666678</v>
      </c>
      <c r="H29" s="17">
        <v>0.76396666666666679</v>
      </c>
      <c r="I29" s="17">
        <v>0.15056995529778322</v>
      </c>
      <c r="J29" s="17">
        <v>6.7371806090912617E-2</v>
      </c>
      <c r="K29" s="17">
        <v>0.1352683648492583</v>
      </c>
      <c r="L29" s="17">
        <v>4.9250000000000002E-2</v>
      </c>
      <c r="M29" s="17">
        <v>8.1637499999999988E-2</v>
      </c>
      <c r="N29" s="17">
        <v>3.2387499999999986E-2</v>
      </c>
      <c r="Q29" s="17">
        <v>63</v>
      </c>
    </row>
    <row r="30" spans="1:17" x14ac:dyDescent="0.3">
      <c r="A30" s="17" t="s">
        <v>527</v>
      </c>
      <c r="B30" s="17" t="s">
        <v>656</v>
      </c>
      <c r="C30" s="17">
        <v>72</v>
      </c>
      <c r="D30" s="17">
        <v>9.6863888888888888E-2</v>
      </c>
      <c r="E30" s="17">
        <v>5.7225000000000012E-2</v>
      </c>
      <c r="F30" s="17">
        <v>2.0499999999999963E-3</v>
      </c>
      <c r="G30" s="17">
        <v>0.77116666666666678</v>
      </c>
      <c r="H30" s="17">
        <v>0.76911666666666678</v>
      </c>
      <c r="I30" s="17">
        <v>0.13969646969885233</v>
      </c>
      <c r="J30" s="17">
        <v>6.4036827889692546E-2</v>
      </c>
      <c r="K30" s="17">
        <v>0.12969094988808522</v>
      </c>
      <c r="L30" s="17">
        <v>4.6624999999999986E-2</v>
      </c>
      <c r="M30" s="17">
        <v>8.3145833333333322E-2</v>
      </c>
      <c r="N30" s="17">
        <v>3.6520833333333336E-2</v>
      </c>
      <c r="Q30" s="17">
        <v>64</v>
      </c>
    </row>
    <row r="31" spans="1:17" x14ac:dyDescent="0.3">
      <c r="A31" s="17" t="s">
        <v>528</v>
      </c>
      <c r="B31" s="17" t="s">
        <v>692</v>
      </c>
      <c r="C31" s="17">
        <v>84</v>
      </c>
      <c r="D31" s="17">
        <v>8.1335912698412657E-2</v>
      </c>
      <c r="E31" s="17">
        <v>5.884166666666666E-2</v>
      </c>
      <c r="F31" s="17">
        <v>7.1999999999999981E-3</v>
      </c>
      <c r="G31" s="17">
        <v>0.77116666666666678</v>
      </c>
      <c r="H31" s="17">
        <v>0.76396666666666679</v>
      </c>
      <c r="I31" s="17">
        <v>9.6184001225049401E-2</v>
      </c>
      <c r="J31" s="17">
        <v>6.0462704849001951E-2</v>
      </c>
      <c r="K31" s="17">
        <v>0.10220912054782336</v>
      </c>
      <c r="L31" s="17">
        <v>4.7545833333333329E-2</v>
      </c>
      <c r="M31" s="17">
        <v>8.8783333333333325E-2</v>
      </c>
      <c r="N31" s="17">
        <v>4.1237499999999996E-2</v>
      </c>
      <c r="Q31" s="17">
        <v>65</v>
      </c>
    </row>
    <row r="32" spans="1:17" x14ac:dyDescent="0.3">
      <c r="A32" s="17" t="s">
        <v>529</v>
      </c>
      <c r="B32" s="17" t="s">
        <v>649</v>
      </c>
      <c r="C32" s="17">
        <v>72</v>
      </c>
      <c r="D32" s="17">
        <v>7.2191435185185171E-2</v>
      </c>
      <c r="E32" s="17">
        <v>5.0975000000000013E-2</v>
      </c>
      <c r="F32" s="17">
        <v>2.0499999999999963E-3</v>
      </c>
      <c r="G32" s="17">
        <v>0.3777833333333333</v>
      </c>
      <c r="H32" s="17">
        <v>0.37573333333333331</v>
      </c>
      <c r="I32" s="17">
        <v>8.1599038732152906E-2</v>
      </c>
      <c r="J32" s="17">
        <v>5.3016601148858949E-2</v>
      </c>
      <c r="K32" s="17">
        <v>9.1366269221511393E-2</v>
      </c>
      <c r="L32" s="17">
        <v>3.3541666666666671E-2</v>
      </c>
      <c r="M32" s="17">
        <v>8.3983333333333327E-2</v>
      </c>
      <c r="N32" s="17">
        <v>5.0441666666666655E-2</v>
      </c>
      <c r="Q32" s="17">
        <v>66</v>
      </c>
    </row>
    <row r="33" spans="1:17" x14ac:dyDescent="0.3">
      <c r="A33" s="17" t="s">
        <v>530</v>
      </c>
      <c r="B33" s="17" t="s">
        <v>657</v>
      </c>
      <c r="C33" s="17">
        <v>36</v>
      </c>
      <c r="D33" s="17">
        <v>6.9686574074074081E-2</v>
      </c>
      <c r="E33" s="17">
        <v>4.9600000000000019E-2</v>
      </c>
      <c r="F33" s="17">
        <v>2.0499999999999963E-3</v>
      </c>
      <c r="G33" s="17">
        <v>0.3777833333333333</v>
      </c>
      <c r="H33" s="17">
        <v>0.37573333333333331</v>
      </c>
      <c r="I33" s="17">
        <v>8.1484954480307875E-2</v>
      </c>
      <c r="J33" s="17">
        <v>4.2116032053475513E-2</v>
      </c>
      <c r="K33" s="17">
        <v>9.7257116094672649E-2</v>
      </c>
      <c r="L33" s="17">
        <v>3.5875000000000004E-2</v>
      </c>
      <c r="M33" s="17">
        <v>7.9170833333333329E-2</v>
      </c>
      <c r="N33" s="17">
        <v>4.3295833333333325E-2</v>
      </c>
      <c r="Q33" s="17">
        <v>67</v>
      </c>
    </row>
    <row r="34" spans="1:17" x14ac:dyDescent="0.3">
      <c r="A34" s="17" t="s">
        <v>531</v>
      </c>
      <c r="B34" s="17" t="s">
        <v>658</v>
      </c>
      <c r="C34" s="17">
        <v>36</v>
      </c>
      <c r="D34" s="17">
        <v>7.4696296296296288E-2</v>
      </c>
      <c r="E34" s="17">
        <v>5.6150000000000019E-2</v>
      </c>
      <c r="F34" s="17">
        <v>2.0499999999999963E-3</v>
      </c>
      <c r="G34" s="17">
        <v>0.3777833333333333</v>
      </c>
      <c r="H34" s="17">
        <v>0.37573333333333331</v>
      </c>
      <c r="I34" s="17">
        <v>8.2790949596541069E-2</v>
      </c>
      <c r="J34" s="17">
        <v>4.6683869102410847E-2</v>
      </c>
      <c r="K34" s="17">
        <v>0.10270872349018173</v>
      </c>
      <c r="L34" s="17">
        <v>3.1608333333333342E-2</v>
      </c>
      <c r="M34" s="17">
        <v>8.8783333333333325E-2</v>
      </c>
      <c r="N34" s="17">
        <v>5.7174999999999983E-2</v>
      </c>
      <c r="Q34" s="17">
        <v>68</v>
      </c>
    </row>
    <row r="35" spans="1:17" x14ac:dyDescent="0.3">
      <c r="A35" s="17" t="s">
        <v>532</v>
      </c>
      <c r="B35" s="17" t="s">
        <v>659</v>
      </c>
      <c r="C35" s="17">
        <v>36</v>
      </c>
      <c r="D35" s="17">
        <v>8.4959722222222242E-2</v>
      </c>
      <c r="E35" s="17">
        <v>6.246666666666667E-2</v>
      </c>
      <c r="F35" s="17">
        <v>2.0499999999999963E-3</v>
      </c>
      <c r="G35" s="17">
        <v>0.3777833333333333</v>
      </c>
      <c r="H35" s="17">
        <v>0.37573333333333331</v>
      </c>
      <c r="I35" s="17">
        <v>9.4204185393404472E-2</v>
      </c>
      <c r="J35" s="17">
        <v>5.3085611615302966E-2</v>
      </c>
      <c r="K35" s="17">
        <v>0.11683383282914152</v>
      </c>
      <c r="L35" s="17">
        <v>4.186249999999999E-2</v>
      </c>
      <c r="M35" s="17">
        <v>8.8783333333333325E-2</v>
      </c>
      <c r="N35" s="17">
        <v>4.6920833333333335E-2</v>
      </c>
      <c r="Q35" s="17">
        <v>69</v>
      </c>
    </row>
    <row r="36" spans="1:17" x14ac:dyDescent="0.3">
      <c r="A36" s="17" t="s">
        <v>533</v>
      </c>
      <c r="B36" s="17" t="s">
        <v>693</v>
      </c>
      <c r="C36" s="17">
        <v>36</v>
      </c>
      <c r="D36" s="17">
        <v>5.9423148148148149E-2</v>
      </c>
      <c r="E36" s="17">
        <v>4.1091666666666658E-2</v>
      </c>
      <c r="F36" s="17">
        <v>2.0499999999999963E-3</v>
      </c>
      <c r="G36" s="17">
        <v>0.3777833333333333</v>
      </c>
      <c r="H36" s="17">
        <v>0.37573333333333331</v>
      </c>
      <c r="I36" s="17">
        <v>6.5553363973320955E-2</v>
      </c>
      <c r="J36" s="17">
        <v>3.7243080827194922E-2</v>
      </c>
      <c r="K36" s="17">
        <v>8.1603215469101376E-2</v>
      </c>
      <c r="L36" s="17">
        <v>2.9133333333333324E-2</v>
      </c>
      <c r="M36" s="17">
        <v>6.5858333333333338E-2</v>
      </c>
      <c r="N36" s="17">
        <v>3.6725000000000015E-2</v>
      </c>
      <c r="Q36" s="17">
        <v>70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9A3B-A3F0-4E30-AE76-972BD034B6B3}">
  <sheetPr codeName="Sheet5"/>
  <dimension ref="A1:O39"/>
  <sheetViews>
    <sheetView topLeftCell="A10" workbookViewId="0">
      <selection activeCell="M41" sqref="M41"/>
    </sheetView>
  </sheetViews>
  <sheetFormatPr defaultColWidth="8.88671875" defaultRowHeight="14.4" x14ac:dyDescent="0.3"/>
  <cols>
    <col min="1" max="1" width="28.6640625" style="1" customWidth="1"/>
    <col min="2" max="11" width="10.6640625" style="1" customWidth="1"/>
    <col min="12" max="12" width="10.6640625" style="6" customWidth="1"/>
    <col min="13" max="15" width="10.6640625" style="1" customWidth="1"/>
    <col min="16" max="16384" width="8.88671875" style="1"/>
  </cols>
  <sheetData>
    <row r="1" spans="1:15" x14ac:dyDescent="0.3">
      <c r="A1" s="1" t="s">
        <v>149</v>
      </c>
      <c r="L1" s="1"/>
    </row>
    <row r="2" spans="1:15" x14ac:dyDescent="0.3">
      <c r="L2" s="1"/>
    </row>
    <row r="3" spans="1:15" ht="57.6" x14ac:dyDescent="0.3">
      <c r="A3" s="5" t="s">
        <v>147</v>
      </c>
      <c r="B3" s="5" t="s">
        <v>0</v>
      </c>
      <c r="C3" s="5" t="s">
        <v>1</v>
      </c>
      <c r="D3" s="5" t="s">
        <v>10</v>
      </c>
      <c r="E3" s="5" t="s">
        <v>143</v>
      </c>
      <c r="F3" s="5" t="s">
        <v>11</v>
      </c>
      <c r="G3" s="5" t="s">
        <v>12</v>
      </c>
      <c r="H3" s="1" t="s">
        <v>153</v>
      </c>
      <c r="I3" s="1" t="s">
        <v>154</v>
      </c>
      <c r="J3" s="1" t="s">
        <v>152</v>
      </c>
      <c r="K3" s="1" t="s">
        <v>470</v>
      </c>
      <c r="L3" s="1" t="s">
        <v>150</v>
      </c>
      <c r="M3" s="5" t="s">
        <v>5</v>
      </c>
      <c r="N3" s="5" t="s">
        <v>579</v>
      </c>
      <c r="O3" s="5" t="s">
        <v>588</v>
      </c>
    </row>
    <row r="4" spans="1:15" x14ac:dyDescent="0.3">
      <c r="A4" s="1" t="s">
        <v>540</v>
      </c>
      <c r="B4" s="1">
        <v>0</v>
      </c>
      <c r="C4" s="1" t="s">
        <v>13</v>
      </c>
      <c r="D4" s="1" t="s">
        <v>15</v>
      </c>
      <c r="E4" s="1" t="s">
        <v>146</v>
      </c>
      <c r="F4" s="3" t="b">
        <v>1</v>
      </c>
      <c r="G4" s="3" t="b">
        <v>1</v>
      </c>
      <c r="H4" s="1">
        <v>98</v>
      </c>
      <c r="I4" s="1">
        <v>129</v>
      </c>
      <c r="J4" s="1">
        <v>50</v>
      </c>
      <c r="K4" s="13">
        <f>(Data_rising_stage[[#This Row],[Depth_of_water_column_to_sediment_layer]]/100)/Data_rising_stage[[#This Row],[Total_sampling_time]]</f>
        <v>1.9599999999999999E-2</v>
      </c>
      <c r="L4" s="6">
        <v>5.09</v>
      </c>
      <c r="M4" s="1" t="s">
        <v>130</v>
      </c>
      <c r="N4" s="13" cm="1">
        <f t="array" ref="N4">VLOOKUP(Data_rising_stage[[#This Row],[Filter_paper_number]], Data_filter_paper_weights[#All], COLUMN(Data_filter_paper_weights[Weight_of_sediment]), FALSE)</f>
        <v>7.6200000000000004E-2</v>
      </c>
      <c r="O4" s="13">
        <f>Data_rising_stage[[#This Row],[Weight_of_sediment_per_0.5L]]*2</f>
        <v>0.15240000000000001</v>
      </c>
    </row>
    <row r="5" spans="1:15" x14ac:dyDescent="0.3">
      <c r="A5" s="1" t="s">
        <v>541</v>
      </c>
      <c r="B5" s="1">
        <v>0</v>
      </c>
      <c r="C5" s="1" t="s">
        <v>13</v>
      </c>
      <c r="D5" s="1" t="s">
        <v>15</v>
      </c>
      <c r="E5" s="1" t="s">
        <v>146</v>
      </c>
      <c r="F5" s="3" t="b">
        <v>0</v>
      </c>
      <c r="G5" s="3" t="b">
        <v>1</v>
      </c>
      <c r="H5" s="1">
        <v>98</v>
      </c>
      <c r="I5" s="1">
        <v>129</v>
      </c>
      <c r="J5" s="1">
        <v>45</v>
      </c>
      <c r="K5" s="13">
        <f>(Data_rising_stage[[#This Row],[Depth_of_water_column_to_sediment_layer]]/100)/Data_rising_stage[[#This Row],[Total_sampling_time]]</f>
        <v>2.1777777777777778E-2</v>
      </c>
      <c r="L5" s="6">
        <v>4.8899999999999997</v>
      </c>
      <c r="M5" s="1" t="s">
        <v>139</v>
      </c>
      <c r="N5" s="13" cm="1">
        <f t="array" ref="N5">VLOOKUP(Data_rising_stage[[#This Row],[Filter_paper_number]], Data_filter_paper_weights[#All], COLUMN(Data_filter_paper_weights[Weight_of_sediment]), FALSE)</f>
        <v>0.1111</v>
      </c>
      <c r="O5" s="13">
        <f>Data_rising_stage[[#This Row],[Weight_of_sediment_per_0.5L]]*2</f>
        <v>0.22220000000000001</v>
      </c>
    </row>
    <row r="6" spans="1:15" x14ac:dyDescent="0.3">
      <c r="A6" s="1" t="s">
        <v>542</v>
      </c>
      <c r="B6" s="1">
        <v>0</v>
      </c>
      <c r="C6" s="1" t="s">
        <v>13</v>
      </c>
      <c r="D6" s="1" t="s">
        <v>15</v>
      </c>
      <c r="E6" s="1" t="s">
        <v>145</v>
      </c>
      <c r="F6" s="3" t="b">
        <v>1</v>
      </c>
      <c r="G6" s="3" t="b">
        <v>1</v>
      </c>
      <c r="H6" s="1">
        <v>98</v>
      </c>
      <c r="I6" s="1">
        <v>129</v>
      </c>
      <c r="J6" s="1">
        <v>60</v>
      </c>
      <c r="K6" s="13">
        <f>(Data_rising_stage[[#This Row],[Depth_of_water_column_to_sediment_layer]]/100)/Data_rising_stage[[#This Row],[Total_sampling_time]]</f>
        <v>1.6333333333333332E-2</v>
      </c>
      <c r="L6" s="6">
        <v>5.0599999999999996</v>
      </c>
      <c r="M6" s="1" t="s">
        <v>141</v>
      </c>
      <c r="N6" s="13" cm="1">
        <f t="array" ref="N6">VLOOKUP(Data_rising_stage[[#This Row],[Filter_paper_number]], Data_filter_paper_weights[#All], COLUMN(Data_filter_paper_weights[Weight_of_sediment]), FALSE)</f>
        <v>5.4416666666666669E-2</v>
      </c>
      <c r="O6" s="13">
        <f>Data_rising_stage[[#This Row],[Weight_of_sediment_per_0.5L]]*2</f>
        <v>0.10883333333333334</v>
      </c>
    </row>
    <row r="7" spans="1:15" x14ac:dyDescent="0.3">
      <c r="A7" s="1" t="s">
        <v>543</v>
      </c>
      <c r="B7" s="1">
        <v>0</v>
      </c>
      <c r="C7" s="1" t="s">
        <v>13</v>
      </c>
      <c r="D7" s="1" t="s">
        <v>15</v>
      </c>
      <c r="E7" s="1" t="s">
        <v>145</v>
      </c>
      <c r="F7" s="3" t="b">
        <v>0</v>
      </c>
      <c r="G7" s="3" t="b">
        <v>1</v>
      </c>
      <c r="H7" s="1">
        <v>98</v>
      </c>
      <c r="I7" s="1">
        <v>129</v>
      </c>
      <c r="J7" s="1">
        <v>57</v>
      </c>
      <c r="K7" s="13">
        <f>(Data_rising_stage[[#This Row],[Depth_of_water_column_to_sediment_layer]]/100)/Data_rising_stage[[#This Row],[Total_sampling_time]]</f>
        <v>1.719298245614035E-2</v>
      </c>
      <c r="L7" s="6">
        <v>5.0999999999999996</v>
      </c>
      <c r="M7" s="1" t="s">
        <v>127</v>
      </c>
      <c r="N7" s="13" cm="1">
        <f t="array" ref="N7">VLOOKUP(Data_rising_stage[[#This Row],[Filter_paper_number]], Data_filter_paper_weights[#All], COLUMN(Data_filter_paper_weights[Weight_of_sediment]), FALSE)</f>
        <v>4.6516666666666651E-2</v>
      </c>
      <c r="O7" s="13">
        <f>Data_rising_stage[[#This Row],[Weight_of_sediment_per_0.5L]]*2</f>
        <v>9.3033333333333301E-2</v>
      </c>
    </row>
    <row r="8" spans="1:15" x14ac:dyDescent="0.3">
      <c r="A8" s="1" t="s">
        <v>544</v>
      </c>
      <c r="B8" s="1">
        <v>0</v>
      </c>
      <c r="C8" s="1" t="s">
        <v>13</v>
      </c>
      <c r="D8" s="1" t="s">
        <v>15</v>
      </c>
      <c r="E8" s="1" t="s">
        <v>144</v>
      </c>
      <c r="F8" s="3" t="b">
        <v>1</v>
      </c>
      <c r="G8" s="3" t="b">
        <v>1</v>
      </c>
      <c r="H8" s="1">
        <v>98</v>
      </c>
      <c r="I8" s="1">
        <v>129</v>
      </c>
      <c r="J8" s="1">
        <v>60</v>
      </c>
      <c r="K8" s="13">
        <f>(Data_rising_stage[[#This Row],[Depth_of_water_column_to_sediment_layer]]/100)/Data_rising_stage[[#This Row],[Total_sampling_time]]</f>
        <v>1.6333333333333332E-2</v>
      </c>
      <c r="L8" s="6">
        <v>4.91</v>
      </c>
      <c r="M8" s="1" t="s">
        <v>132</v>
      </c>
      <c r="N8" s="13" cm="1">
        <f t="array" ref="N8">VLOOKUP(Data_rising_stage[[#This Row],[Filter_paper_number]], Data_filter_paper_weights[#All], COLUMN(Data_filter_paper_weights[Weight_of_sediment]), FALSE)</f>
        <v>5.6300000000000003E-2</v>
      </c>
      <c r="O8" s="13">
        <f>Data_rising_stage[[#This Row],[Weight_of_sediment_per_0.5L]]*2</f>
        <v>0.11260000000000001</v>
      </c>
    </row>
    <row r="9" spans="1:15" x14ac:dyDescent="0.3">
      <c r="A9" s="1" t="s">
        <v>545</v>
      </c>
      <c r="B9" s="1">
        <v>0</v>
      </c>
      <c r="C9" s="1" t="s">
        <v>13</v>
      </c>
      <c r="D9" s="1" t="s">
        <v>15</v>
      </c>
      <c r="E9" s="1" t="s">
        <v>144</v>
      </c>
      <c r="F9" s="3" t="b">
        <v>0</v>
      </c>
      <c r="G9" s="3" t="b">
        <v>1</v>
      </c>
      <c r="H9" s="1">
        <v>98</v>
      </c>
      <c r="I9" s="1">
        <v>129</v>
      </c>
      <c r="J9" s="1">
        <v>60</v>
      </c>
      <c r="K9" s="13">
        <f>(Data_rising_stage[[#This Row],[Depth_of_water_column_to_sediment_layer]]/100)/Data_rising_stage[[#This Row],[Total_sampling_time]]</f>
        <v>1.6333333333333332E-2</v>
      </c>
      <c r="L9" s="6">
        <v>5.1100000000000003</v>
      </c>
      <c r="M9" s="1" t="s">
        <v>117</v>
      </c>
      <c r="N9" s="13" cm="1">
        <f t="array" ref="N9">VLOOKUP(Data_rising_stage[[#This Row],[Filter_paper_number]], Data_filter_paper_weights[#All], COLUMN(Data_filter_paper_weights[Weight_of_sediment]), FALSE)</f>
        <v>7.7450000000000005E-2</v>
      </c>
      <c r="O9" s="13">
        <f>Data_rising_stage[[#This Row],[Weight_of_sediment_per_0.5L]]*2</f>
        <v>0.15490000000000001</v>
      </c>
    </row>
    <row r="10" spans="1:15" x14ac:dyDescent="0.3">
      <c r="A10" s="1" t="s">
        <v>546</v>
      </c>
      <c r="B10" s="1">
        <v>0</v>
      </c>
      <c r="C10" s="1" t="s">
        <v>13</v>
      </c>
      <c r="D10" s="1" t="s">
        <v>16</v>
      </c>
      <c r="E10" s="1" t="s">
        <v>146</v>
      </c>
      <c r="F10" s="3" t="b">
        <v>1</v>
      </c>
      <c r="G10" s="3" t="b">
        <v>1</v>
      </c>
      <c r="H10" s="1">
        <v>98</v>
      </c>
      <c r="I10" s="1">
        <v>129</v>
      </c>
      <c r="J10" s="1">
        <v>45</v>
      </c>
      <c r="K10" s="13">
        <f>(Data_rising_stage[[#This Row],[Depth_of_water_column_to_sediment_layer]]/100)/Data_rising_stage[[#This Row],[Total_sampling_time]]</f>
        <v>2.1777777777777778E-2</v>
      </c>
      <c r="L10" s="6">
        <v>4.9000000000000004</v>
      </c>
      <c r="M10" s="1" t="s">
        <v>121</v>
      </c>
      <c r="N10" s="13" cm="1">
        <f t="array" ref="N10">VLOOKUP(Data_rising_stage[[#This Row],[Filter_paper_number]], Data_filter_paper_weights[#All], COLUMN(Data_filter_paper_weights[Weight_of_sediment]), FALSE)</f>
        <v>8.6349999999999982E-2</v>
      </c>
      <c r="O10" s="13">
        <f>Data_rising_stage[[#This Row],[Weight_of_sediment_per_0.5L]]*2</f>
        <v>0.17269999999999996</v>
      </c>
    </row>
    <row r="11" spans="1:15" x14ac:dyDescent="0.3">
      <c r="A11" s="1" t="s">
        <v>547</v>
      </c>
      <c r="B11" s="1">
        <v>0</v>
      </c>
      <c r="C11" s="1" t="s">
        <v>13</v>
      </c>
      <c r="D11" s="1" t="s">
        <v>16</v>
      </c>
      <c r="E11" s="1" t="s">
        <v>146</v>
      </c>
      <c r="F11" s="3" t="b">
        <v>0</v>
      </c>
      <c r="G11" s="3" t="b">
        <v>1</v>
      </c>
      <c r="H11" s="1">
        <v>98</v>
      </c>
      <c r="I11" s="1">
        <v>129</v>
      </c>
      <c r="J11" s="1">
        <v>56</v>
      </c>
      <c r="K11" s="13">
        <f>(Data_rising_stage[[#This Row],[Depth_of_water_column_to_sediment_layer]]/100)/Data_rising_stage[[#This Row],[Total_sampling_time]]</f>
        <v>1.7499999999999998E-2</v>
      </c>
      <c r="L11" s="6">
        <v>4.93</v>
      </c>
      <c r="M11" s="1" t="s">
        <v>138</v>
      </c>
      <c r="N11" s="13" cm="1">
        <f t="array" ref="N11">VLOOKUP(Data_rising_stage[[#This Row],[Filter_paper_number]], Data_filter_paper_weights[#All], COLUMN(Data_filter_paper_weights[Weight_of_sediment]), FALSE)</f>
        <v>5.935E-2</v>
      </c>
      <c r="O11" s="13">
        <f>Data_rising_stage[[#This Row],[Weight_of_sediment_per_0.5L]]*2</f>
        <v>0.1187</v>
      </c>
    </row>
    <row r="12" spans="1:15" x14ac:dyDescent="0.3">
      <c r="A12" s="1" t="s">
        <v>548</v>
      </c>
      <c r="B12" s="1">
        <v>0</v>
      </c>
      <c r="C12" s="1" t="s">
        <v>13</v>
      </c>
      <c r="D12" s="1" t="s">
        <v>16</v>
      </c>
      <c r="E12" s="1" t="s">
        <v>145</v>
      </c>
      <c r="F12" s="3" t="b">
        <v>1</v>
      </c>
      <c r="G12" s="3" t="b">
        <v>1</v>
      </c>
      <c r="H12" s="1">
        <v>98</v>
      </c>
      <c r="I12" s="1">
        <v>129</v>
      </c>
      <c r="J12" s="1">
        <v>56</v>
      </c>
      <c r="K12" s="13">
        <f>(Data_rising_stage[[#This Row],[Depth_of_water_column_to_sediment_layer]]/100)/Data_rising_stage[[#This Row],[Total_sampling_time]]</f>
        <v>1.7499999999999998E-2</v>
      </c>
      <c r="L12" s="6">
        <v>5.0599999999999996</v>
      </c>
      <c r="M12" s="1" t="s">
        <v>265</v>
      </c>
      <c r="N12" s="13" cm="1">
        <f t="array" ref="N12">VLOOKUP(Data_rising_stage[[#This Row],[Filter_paper_number]], Data_filter_paper_weights[#All], COLUMN(Data_filter_paper_weights[Weight_of_sediment]), FALSE)</f>
        <v>0.11914999999999998</v>
      </c>
      <c r="O12" s="13">
        <f>Data_rising_stage[[#This Row],[Weight_of_sediment_per_0.5L]]*2</f>
        <v>0.23829999999999996</v>
      </c>
    </row>
    <row r="13" spans="1:15" x14ac:dyDescent="0.3">
      <c r="A13" s="1" t="s">
        <v>549</v>
      </c>
      <c r="B13" s="1">
        <v>0</v>
      </c>
      <c r="C13" s="1" t="s">
        <v>13</v>
      </c>
      <c r="D13" s="1" t="s">
        <v>16</v>
      </c>
      <c r="E13" s="1" t="s">
        <v>145</v>
      </c>
      <c r="F13" s="3" t="b">
        <v>0</v>
      </c>
      <c r="G13" s="3" t="b">
        <v>1</v>
      </c>
      <c r="H13" s="1">
        <v>98</v>
      </c>
      <c r="I13" s="1">
        <v>129</v>
      </c>
      <c r="J13" s="1">
        <v>47</v>
      </c>
      <c r="K13" s="13">
        <f>(Data_rising_stage[[#This Row],[Depth_of_water_column_to_sediment_layer]]/100)/Data_rising_stage[[#This Row],[Total_sampling_time]]</f>
        <v>2.0851063829787235E-2</v>
      </c>
      <c r="L13" s="6">
        <v>5.04</v>
      </c>
      <c r="M13" s="1" t="s">
        <v>136</v>
      </c>
      <c r="N13" s="13" cm="1">
        <f t="array" ref="N13">VLOOKUP(Data_rising_stage[[#This Row],[Filter_paper_number]], Data_filter_paper_weights[#All], COLUMN(Data_filter_paper_weights[Weight_of_sediment]), FALSE)</f>
        <v>5.325000000000002E-2</v>
      </c>
      <c r="O13" s="13">
        <f>Data_rising_stage[[#This Row],[Weight_of_sediment_per_0.5L]]*2</f>
        <v>0.10650000000000004</v>
      </c>
    </row>
    <row r="14" spans="1:15" x14ac:dyDescent="0.3">
      <c r="A14" s="1" t="s">
        <v>550</v>
      </c>
      <c r="B14" s="1">
        <v>0</v>
      </c>
      <c r="C14" s="1" t="s">
        <v>13</v>
      </c>
      <c r="D14" s="1" t="s">
        <v>16</v>
      </c>
      <c r="E14" s="1" t="s">
        <v>144</v>
      </c>
      <c r="F14" s="3" t="b">
        <v>1</v>
      </c>
      <c r="G14" s="3" t="b">
        <v>1</v>
      </c>
      <c r="H14" s="1">
        <v>98</v>
      </c>
      <c r="I14" s="1">
        <v>129</v>
      </c>
      <c r="J14" s="1">
        <v>60</v>
      </c>
      <c r="K14" s="13">
        <f>(Data_rising_stage[[#This Row],[Depth_of_water_column_to_sediment_layer]]/100)/Data_rising_stage[[#This Row],[Total_sampling_time]]</f>
        <v>1.6333333333333332E-2</v>
      </c>
      <c r="L14" s="6">
        <v>4.93</v>
      </c>
      <c r="M14" s="1" t="s">
        <v>131</v>
      </c>
      <c r="N14" s="13" cm="1">
        <f t="array" ref="N14">VLOOKUP(Data_rising_stage[[#This Row],[Filter_paper_number]], Data_filter_paper_weights[#All], COLUMN(Data_filter_paper_weights[Weight_of_sediment]), FALSE)</f>
        <v>4.9583333333333313E-2</v>
      </c>
      <c r="O14" s="13">
        <f>Data_rising_stage[[#This Row],[Weight_of_sediment_per_0.5L]]*2</f>
        <v>9.9166666666666625E-2</v>
      </c>
    </row>
    <row r="15" spans="1:15" x14ac:dyDescent="0.3">
      <c r="A15" s="1" t="s">
        <v>551</v>
      </c>
      <c r="B15" s="1">
        <v>0</v>
      </c>
      <c r="C15" s="1" t="s">
        <v>13</v>
      </c>
      <c r="D15" s="1" t="s">
        <v>16</v>
      </c>
      <c r="E15" s="1" t="s">
        <v>144</v>
      </c>
      <c r="F15" s="3" t="b">
        <v>0</v>
      </c>
      <c r="G15" s="3" t="b">
        <v>1</v>
      </c>
      <c r="H15" s="1">
        <v>98</v>
      </c>
      <c r="I15" s="1">
        <v>129</v>
      </c>
      <c r="J15" s="1">
        <v>41</v>
      </c>
      <c r="K15" s="13">
        <f>(Data_rising_stage[[#This Row],[Depth_of_water_column_to_sediment_layer]]/100)/Data_rising_stage[[#This Row],[Total_sampling_time]]</f>
        <v>2.3902439024390244E-2</v>
      </c>
      <c r="L15" s="6">
        <v>5.03</v>
      </c>
      <c r="M15" s="1" t="s">
        <v>116</v>
      </c>
      <c r="N15" s="13" cm="1">
        <f t="array" ref="N15">VLOOKUP(Data_rising_stage[[#This Row],[Filter_paper_number]], Data_filter_paper_weights[#All], COLUMN(Data_filter_paper_weights[Weight_of_sediment]), FALSE)</f>
        <v>2.4499999999999938E-3</v>
      </c>
      <c r="O15" s="13">
        <f>Data_rising_stage[[#This Row],[Weight_of_sediment_per_0.5L]]*2</f>
        <v>4.8999999999999877E-3</v>
      </c>
    </row>
    <row r="16" spans="1:15" x14ac:dyDescent="0.3">
      <c r="A16" s="1" t="s">
        <v>552</v>
      </c>
      <c r="B16" s="1">
        <v>0</v>
      </c>
      <c r="C16" s="1" t="s">
        <v>13</v>
      </c>
      <c r="D16" s="1" t="s">
        <v>17</v>
      </c>
      <c r="E16" s="1" t="s">
        <v>146</v>
      </c>
      <c r="F16" s="3" t="b">
        <v>1</v>
      </c>
      <c r="G16" s="3" t="b">
        <v>1</v>
      </c>
      <c r="H16" s="1">
        <v>98</v>
      </c>
      <c r="I16" s="1">
        <v>129</v>
      </c>
      <c r="J16" s="1">
        <v>47</v>
      </c>
      <c r="K16" s="13">
        <f>(Data_rising_stage[[#This Row],[Depth_of_water_column_to_sediment_layer]]/100)/Data_rising_stage[[#This Row],[Total_sampling_time]]</f>
        <v>2.0851063829787235E-2</v>
      </c>
      <c r="L16" s="6">
        <v>4.97</v>
      </c>
      <c r="M16" s="1" t="s">
        <v>268</v>
      </c>
      <c r="N16" s="13" cm="1">
        <f t="array" ref="N16">VLOOKUP(Data_rising_stage[[#This Row],[Filter_paper_number]], Data_filter_paper_weights[#All], COLUMN(Data_filter_paper_weights[Weight_of_sediment]), FALSE)</f>
        <v>7.2149999999999992E-2</v>
      </c>
      <c r="O16" s="13">
        <f>Data_rising_stage[[#This Row],[Weight_of_sediment_per_0.5L]]*2</f>
        <v>0.14429999999999998</v>
      </c>
    </row>
    <row r="17" spans="1:15" x14ac:dyDescent="0.3">
      <c r="A17" s="1" t="s">
        <v>553</v>
      </c>
      <c r="B17" s="1">
        <v>0</v>
      </c>
      <c r="C17" s="1" t="s">
        <v>13</v>
      </c>
      <c r="D17" s="1" t="s">
        <v>17</v>
      </c>
      <c r="E17" s="1" t="s">
        <v>146</v>
      </c>
      <c r="F17" s="3" t="b">
        <v>0</v>
      </c>
      <c r="G17" s="3" t="b">
        <v>1</v>
      </c>
      <c r="H17" s="1">
        <v>98</v>
      </c>
      <c r="I17" s="1">
        <v>129</v>
      </c>
      <c r="J17" s="1">
        <v>57</v>
      </c>
      <c r="K17" s="13">
        <f>(Data_rising_stage[[#This Row],[Depth_of_water_column_to_sediment_layer]]/100)/Data_rising_stage[[#This Row],[Total_sampling_time]]</f>
        <v>1.719298245614035E-2</v>
      </c>
      <c r="L17" s="6">
        <v>4.92</v>
      </c>
      <c r="M17" s="1" t="s">
        <v>126</v>
      </c>
      <c r="N17" s="13" cm="1">
        <f t="array" ref="N17">VLOOKUP(Data_rising_stage[[#This Row],[Filter_paper_number]], Data_filter_paper_weights[#All], COLUMN(Data_filter_paper_weights[Weight_of_sediment]), FALSE)</f>
        <v>6.0450000000000004E-2</v>
      </c>
      <c r="O17" s="13">
        <f>Data_rising_stage[[#This Row],[Weight_of_sediment_per_0.5L]]*2</f>
        <v>0.12090000000000001</v>
      </c>
    </row>
    <row r="18" spans="1:15" x14ac:dyDescent="0.3">
      <c r="A18" s="1" t="s">
        <v>554</v>
      </c>
      <c r="B18" s="1">
        <v>0</v>
      </c>
      <c r="C18" s="1" t="s">
        <v>13</v>
      </c>
      <c r="D18" s="1" t="s">
        <v>17</v>
      </c>
      <c r="E18" s="1" t="s">
        <v>145</v>
      </c>
      <c r="F18" s="3" t="b">
        <v>1</v>
      </c>
      <c r="G18" s="3" t="b">
        <v>1</v>
      </c>
      <c r="H18" s="1">
        <v>98</v>
      </c>
      <c r="I18" s="1">
        <v>129</v>
      </c>
      <c r="J18" s="1">
        <v>50</v>
      </c>
      <c r="K18" s="13">
        <f>(Data_rising_stage[[#This Row],[Depth_of_water_column_to_sediment_layer]]/100)/Data_rising_stage[[#This Row],[Total_sampling_time]]</f>
        <v>1.9599999999999999E-2</v>
      </c>
      <c r="L18" s="6">
        <v>4.8899999999999997</v>
      </c>
      <c r="M18" s="1" t="s">
        <v>267</v>
      </c>
      <c r="N18" s="13" cm="1">
        <f t="array" ref="N18">VLOOKUP(Data_rising_stage[[#This Row],[Filter_paper_number]], Data_filter_paper_weights[#All], COLUMN(Data_filter_paper_weights[Weight_of_sediment]), FALSE)</f>
        <v>6.3250000000000015E-2</v>
      </c>
      <c r="O18" s="13">
        <f>Data_rising_stage[[#This Row],[Weight_of_sediment_per_0.5L]]*2</f>
        <v>0.12650000000000003</v>
      </c>
    </row>
    <row r="19" spans="1:15" x14ac:dyDescent="0.3">
      <c r="A19" s="1" t="s">
        <v>555</v>
      </c>
      <c r="B19" s="1">
        <v>0</v>
      </c>
      <c r="C19" s="1" t="s">
        <v>13</v>
      </c>
      <c r="D19" s="1" t="s">
        <v>17</v>
      </c>
      <c r="E19" s="1" t="s">
        <v>145</v>
      </c>
      <c r="F19" s="3" t="b">
        <v>0</v>
      </c>
      <c r="G19" s="3" t="b">
        <v>1</v>
      </c>
      <c r="H19" s="1">
        <v>98</v>
      </c>
      <c r="I19" s="1">
        <v>129</v>
      </c>
      <c r="J19" s="1">
        <v>41</v>
      </c>
      <c r="K19" s="13">
        <f>(Data_rising_stage[[#This Row],[Depth_of_water_column_to_sediment_layer]]/100)/Data_rising_stage[[#This Row],[Total_sampling_time]]</f>
        <v>2.3902439024390244E-2</v>
      </c>
      <c r="L19" s="6">
        <v>5.09</v>
      </c>
      <c r="M19" s="1" t="s">
        <v>129</v>
      </c>
      <c r="N19" s="13" cm="1">
        <f t="array" ref="N19">VLOOKUP(Data_rising_stage[[#This Row],[Filter_paper_number]], Data_filter_paper_weights[#All], COLUMN(Data_filter_paper_weights[Weight_of_sediment]), FALSE)</f>
        <v>6.8699999999999983E-2</v>
      </c>
      <c r="O19" s="13">
        <f>Data_rising_stage[[#This Row],[Weight_of_sediment_per_0.5L]]*2</f>
        <v>0.13739999999999997</v>
      </c>
    </row>
    <row r="20" spans="1:15" x14ac:dyDescent="0.3">
      <c r="A20" s="1" t="s">
        <v>556</v>
      </c>
      <c r="B20" s="1">
        <v>0</v>
      </c>
      <c r="C20" s="1" t="s">
        <v>13</v>
      </c>
      <c r="D20" s="1" t="s">
        <v>17</v>
      </c>
      <c r="E20" s="1" t="s">
        <v>144</v>
      </c>
      <c r="F20" s="3" t="b">
        <v>1</v>
      </c>
      <c r="G20" s="3" t="b">
        <v>1</v>
      </c>
      <c r="H20" s="1">
        <v>98</v>
      </c>
      <c r="I20" s="1">
        <v>129</v>
      </c>
      <c r="J20" s="1">
        <v>60</v>
      </c>
      <c r="K20" s="13">
        <f>(Data_rising_stage[[#This Row],[Depth_of_water_column_to_sediment_layer]]/100)/Data_rising_stage[[#This Row],[Total_sampling_time]]</f>
        <v>1.6333333333333332E-2</v>
      </c>
      <c r="L20" s="6">
        <v>4.9400000000000004</v>
      </c>
      <c r="M20" s="1" t="s">
        <v>128</v>
      </c>
      <c r="N20" s="13" cm="1">
        <f t="array" ref="N20">VLOOKUP(Data_rising_stage[[#This Row],[Filter_paper_number]], Data_filter_paper_weights[#All], COLUMN(Data_filter_paper_weights[Weight_of_sediment]), FALSE)</f>
        <v>4.1249999999999995E-2</v>
      </c>
      <c r="O20" s="13">
        <f>Data_rising_stage[[#This Row],[Weight_of_sediment_per_0.5L]]*2</f>
        <v>8.249999999999999E-2</v>
      </c>
    </row>
    <row r="21" spans="1:15" x14ac:dyDescent="0.3">
      <c r="A21" s="1" t="s">
        <v>557</v>
      </c>
      <c r="B21" s="1">
        <v>0</v>
      </c>
      <c r="C21" s="1" t="s">
        <v>13</v>
      </c>
      <c r="D21" s="1" t="s">
        <v>17</v>
      </c>
      <c r="E21" s="1" t="s">
        <v>144</v>
      </c>
      <c r="F21" s="3" t="b">
        <v>0</v>
      </c>
      <c r="G21" s="3" t="b">
        <v>1</v>
      </c>
      <c r="H21" s="1">
        <v>98</v>
      </c>
      <c r="I21" s="1">
        <v>129</v>
      </c>
      <c r="J21" s="1">
        <v>47</v>
      </c>
      <c r="K21" s="13">
        <f>(Data_rising_stage[[#This Row],[Depth_of_water_column_to_sediment_layer]]/100)/Data_rising_stage[[#This Row],[Total_sampling_time]]</f>
        <v>2.0851063829787235E-2</v>
      </c>
      <c r="L21" s="6">
        <v>5.08</v>
      </c>
      <c r="M21" s="1" t="s">
        <v>133</v>
      </c>
      <c r="N21" s="13" cm="1">
        <f t="array" ref="N21">VLOOKUP(Data_rising_stage[[#This Row],[Filter_paper_number]], Data_filter_paper_weights[#All], COLUMN(Data_filter_paper_weights[Weight_of_sediment]), FALSE)</f>
        <v>4.863333333333332E-2</v>
      </c>
      <c r="O21" s="13">
        <f>Data_rising_stage[[#This Row],[Weight_of_sediment_per_0.5L]]*2</f>
        <v>9.726666666666664E-2</v>
      </c>
    </row>
    <row r="22" spans="1:15" x14ac:dyDescent="0.3">
      <c r="A22" s="1" t="s">
        <v>558</v>
      </c>
      <c r="B22" s="1">
        <v>0</v>
      </c>
      <c r="C22" s="1" t="s">
        <v>14</v>
      </c>
      <c r="D22" s="1" t="s">
        <v>15</v>
      </c>
      <c r="E22" s="1" t="s">
        <v>146</v>
      </c>
      <c r="F22" s="3" t="b">
        <v>1</v>
      </c>
      <c r="G22" s="3" t="b">
        <v>1</v>
      </c>
      <c r="H22" s="7">
        <v>57</v>
      </c>
      <c r="I22" s="7">
        <v>64</v>
      </c>
      <c r="J22" s="1">
        <v>55</v>
      </c>
      <c r="K22" s="13">
        <f>(Data_rising_stage[[#This Row],[Depth_of_water_column_to_sediment_layer]]/100)/Data_rising_stage[[#This Row],[Total_sampling_time]]</f>
        <v>1.0363636363636363E-2</v>
      </c>
      <c r="L22" s="6">
        <v>4.91</v>
      </c>
      <c r="M22" s="1" t="s">
        <v>140</v>
      </c>
      <c r="N22" s="13" cm="1">
        <f t="array" ref="N22">VLOOKUP(Data_rising_stage[[#This Row],[Filter_paper_number]], Data_filter_paper_weights[#All], COLUMN(Data_filter_paper_weights[Weight_of_sediment]), FALSE)</f>
        <v>5.9099999999999986E-2</v>
      </c>
      <c r="O22" s="13">
        <f>Data_rising_stage[[#This Row],[Weight_of_sediment_per_0.5L]]*2</f>
        <v>0.11819999999999997</v>
      </c>
    </row>
    <row r="23" spans="1:15" x14ac:dyDescent="0.3">
      <c r="A23" s="1" t="s">
        <v>559</v>
      </c>
      <c r="B23" s="1">
        <v>0</v>
      </c>
      <c r="C23" s="1" t="s">
        <v>14</v>
      </c>
      <c r="D23" s="1" t="s">
        <v>15</v>
      </c>
      <c r="E23" s="1" t="s">
        <v>146</v>
      </c>
      <c r="F23" s="3" t="b">
        <v>0</v>
      </c>
      <c r="G23" s="3" t="b">
        <v>1</v>
      </c>
      <c r="H23" s="7">
        <v>57</v>
      </c>
      <c r="I23" s="7">
        <v>64</v>
      </c>
      <c r="J23" s="1">
        <v>60</v>
      </c>
      <c r="K23" s="13">
        <f>(Data_rising_stage[[#This Row],[Depth_of_water_column_to_sediment_layer]]/100)/Data_rising_stage[[#This Row],[Total_sampling_time]]</f>
        <v>9.4999999999999998E-3</v>
      </c>
      <c r="L23" s="6">
        <v>5.07</v>
      </c>
      <c r="M23" s="1" t="s">
        <v>134</v>
      </c>
      <c r="N23" s="13" cm="1">
        <f t="array" ref="N23">VLOOKUP(Data_rising_stage[[#This Row],[Filter_paper_number]], Data_filter_paper_weights[#All], COLUMN(Data_filter_paper_weights[Weight_of_sediment]), FALSE)</f>
        <v>0.11914999999999998</v>
      </c>
      <c r="O23" s="13">
        <f>Data_rising_stage[[#This Row],[Weight_of_sediment_per_0.5L]]*2</f>
        <v>0.23829999999999996</v>
      </c>
    </row>
    <row r="24" spans="1:15" x14ac:dyDescent="0.3">
      <c r="A24" s="1" t="s">
        <v>560</v>
      </c>
      <c r="B24" s="1">
        <v>0</v>
      </c>
      <c r="C24" s="1" t="s">
        <v>14</v>
      </c>
      <c r="D24" s="1" t="s">
        <v>15</v>
      </c>
      <c r="E24" s="1" t="s">
        <v>145</v>
      </c>
      <c r="F24" s="3" t="b">
        <v>1</v>
      </c>
      <c r="G24" s="3" t="b">
        <v>1</v>
      </c>
      <c r="H24" s="7">
        <v>57</v>
      </c>
      <c r="I24" s="7">
        <v>64</v>
      </c>
      <c r="J24" s="1">
        <v>41</v>
      </c>
      <c r="K24" s="13">
        <f>(Data_rising_stage[[#This Row],[Depth_of_water_column_to_sediment_layer]]/100)/Data_rising_stage[[#This Row],[Total_sampling_time]]</f>
        <v>1.3902439024390242E-2</v>
      </c>
      <c r="L24" s="6">
        <v>5.0599999999999996</v>
      </c>
      <c r="M24" s="1" t="s">
        <v>137</v>
      </c>
      <c r="N24" s="13" cm="1">
        <f t="array" ref="N24">VLOOKUP(Data_rising_stage[[#This Row],[Filter_paper_number]], Data_filter_paper_weights[#All], COLUMN(Data_filter_paper_weights[Weight_of_sediment]), FALSE)</f>
        <v>5.3349999999999995E-2</v>
      </c>
      <c r="O24" s="13">
        <f>Data_rising_stage[[#This Row],[Weight_of_sediment_per_0.5L]]*2</f>
        <v>0.10669999999999999</v>
      </c>
    </row>
    <row r="25" spans="1:15" x14ac:dyDescent="0.3">
      <c r="A25" s="1" t="s">
        <v>561</v>
      </c>
      <c r="B25" s="1">
        <v>0</v>
      </c>
      <c r="C25" s="1" t="s">
        <v>14</v>
      </c>
      <c r="D25" s="1" t="s">
        <v>15</v>
      </c>
      <c r="E25" s="1" t="s">
        <v>145</v>
      </c>
      <c r="F25" s="3" t="b">
        <v>0</v>
      </c>
      <c r="G25" s="3" t="b">
        <v>1</v>
      </c>
      <c r="H25" s="7">
        <v>57</v>
      </c>
      <c r="I25" s="7">
        <v>64</v>
      </c>
      <c r="J25" s="1">
        <v>51</v>
      </c>
      <c r="K25" s="13">
        <f>(Data_rising_stage[[#This Row],[Depth_of_water_column_to_sediment_layer]]/100)/Data_rising_stage[[#This Row],[Total_sampling_time]]</f>
        <v>1.1176470588235293E-2</v>
      </c>
      <c r="L25" s="6">
        <v>4.9400000000000004</v>
      </c>
      <c r="M25" s="1" t="s">
        <v>239</v>
      </c>
      <c r="N25" s="13" cm="1">
        <f t="array" ref="N25">VLOOKUP(Data_rising_stage[[#This Row],[Filter_paper_number]], Data_filter_paper_weights[#All], COLUMN(Data_filter_paper_weights[Weight_of_sediment]), FALSE)</f>
        <v>5.6300000000000017E-2</v>
      </c>
      <c r="O25" s="13">
        <f>Data_rising_stage[[#This Row],[Weight_of_sediment_per_0.5L]]*2</f>
        <v>0.11260000000000003</v>
      </c>
    </row>
    <row r="26" spans="1:15" x14ac:dyDescent="0.3">
      <c r="A26" s="1" t="s">
        <v>562</v>
      </c>
      <c r="B26" s="1">
        <v>0</v>
      </c>
      <c r="C26" s="1" t="s">
        <v>14</v>
      </c>
      <c r="D26" s="1" t="s">
        <v>15</v>
      </c>
      <c r="E26" s="1" t="s">
        <v>144</v>
      </c>
      <c r="F26" s="3" t="b">
        <v>1</v>
      </c>
      <c r="G26" s="3" t="b">
        <v>1</v>
      </c>
      <c r="H26" s="7">
        <v>57</v>
      </c>
      <c r="I26" s="7">
        <v>64</v>
      </c>
      <c r="J26" s="1">
        <v>56</v>
      </c>
      <c r="K26" s="13">
        <f>(Data_rising_stage[[#This Row],[Depth_of_water_column_to_sediment_layer]]/100)/Data_rising_stage[[#This Row],[Total_sampling_time]]</f>
        <v>1.0178571428571427E-2</v>
      </c>
      <c r="L26" s="6">
        <v>5.01</v>
      </c>
      <c r="M26" s="1" t="s">
        <v>119</v>
      </c>
      <c r="N26" s="13" cm="1">
        <f t="array" ref="N26">VLOOKUP(Data_rising_stage[[#This Row],[Filter_paper_number]], Data_filter_paper_weights[#All], COLUMN(Data_filter_paper_weights[Weight_of_sediment]), FALSE)</f>
        <v>5.3483333333333327E-2</v>
      </c>
      <c r="O26" s="13">
        <f>Data_rising_stage[[#This Row],[Weight_of_sediment_per_0.5L]]*2</f>
        <v>0.10696666666666665</v>
      </c>
    </row>
    <row r="27" spans="1:15" x14ac:dyDescent="0.3">
      <c r="A27" s="1" t="s">
        <v>563</v>
      </c>
      <c r="B27" s="1">
        <v>0</v>
      </c>
      <c r="C27" s="1" t="s">
        <v>14</v>
      </c>
      <c r="D27" s="1" t="s">
        <v>15</v>
      </c>
      <c r="E27" s="1" t="s">
        <v>144</v>
      </c>
      <c r="F27" s="3" t="b">
        <v>0</v>
      </c>
      <c r="G27" s="3" t="b">
        <v>1</v>
      </c>
      <c r="H27" s="7">
        <v>57</v>
      </c>
      <c r="I27" s="7">
        <v>64</v>
      </c>
      <c r="J27" s="1">
        <v>58</v>
      </c>
      <c r="K27" s="13">
        <f>(Data_rising_stage[[#This Row],[Depth_of_water_column_to_sediment_layer]]/100)/Data_rising_stage[[#This Row],[Total_sampling_time]]</f>
        <v>9.8275862068965512E-3</v>
      </c>
      <c r="L27" s="6">
        <v>5.07</v>
      </c>
      <c r="M27" s="1" t="s">
        <v>142</v>
      </c>
      <c r="N27" s="13" cm="1">
        <f t="array" ref="N27">VLOOKUP(Data_rising_stage[[#This Row],[Filter_paper_number]], Data_filter_paper_weights[#All], COLUMN(Data_filter_paper_weights[Weight_of_sediment]), FALSE)</f>
        <v>4.9599999999999991E-2</v>
      </c>
      <c r="O27" s="13">
        <f>Data_rising_stage[[#This Row],[Weight_of_sediment_per_0.5L]]*2</f>
        <v>9.9199999999999983E-2</v>
      </c>
    </row>
    <row r="28" spans="1:15" x14ac:dyDescent="0.3">
      <c r="A28" s="1" t="s">
        <v>564</v>
      </c>
      <c r="B28" s="1">
        <v>0</v>
      </c>
      <c r="C28" s="1" t="s">
        <v>14</v>
      </c>
      <c r="D28" s="1" t="s">
        <v>16</v>
      </c>
      <c r="E28" s="1" t="s">
        <v>146</v>
      </c>
      <c r="F28" s="3" t="b">
        <v>1</v>
      </c>
      <c r="G28" s="3" t="b">
        <v>1</v>
      </c>
      <c r="H28" s="7">
        <v>57</v>
      </c>
      <c r="I28" s="7">
        <v>64</v>
      </c>
      <c r="J28" s="1">
        <v>58</v>
      </c>
      <c r="K28" s="13">
        <f>(Data_rising_stage[[#This Row],[Depth_of_water_column_to_sediment_layer]]/100)/Data_rising_stage[[#This Row],[Total_sampling_time]]</f>
        <v>9.8275862068965512E-3</v>
      </c>
      <c r="L28" s="6">
        <v>5.08</v>
      </c>
      <c r="M28" s="1" t="s">
        <v>240</v>
      </c>
      <c r="N28" s="13" cm="1">
        <f t="array" ref="N28">VLOOKUP(Data_rising_stage[[#This Row],[Filter_paper_number]], Data_filter_paper_weights[#All], COLUMN(Data_filter_paper_weights[Weight_of_sediment]), FALSE)</f>
        <v>7.1516666666666673E-2</v>
      </c>
      <c r="O28" s="13">
        <f>Data_rising_stage[[#This Row],[Weight_of_sediment_per_0.5L]]*2</f>
        <v>0.14303333333333335</v>
      </c>
    </row>
    <row r="29" spans="1:15" x14ac:dyDescent="0.3">
      <c r="A29" s="1" t="s">
        <v>565</v>
      </c>
      <c r="B29" s="1">
        <v>0</v>
      </c>
      <c r="C29" s="1" t="s">
        <v>14</v>
      </c>
      <c r="D29" s="1" t="s">
        <v>16</v>
      </c>
      <c r="E29" s="1" t="s">
        <v>146</v>
      </c>
      <c r="F29" s="3" t="b">
        <v>0</v>
      </c>
      <c r="G29" s="3" t="b">
        <v>1</v>
      </c>
      <c r="H29" s="7">
        <v>57</v>
      </c>
      <c r="I29" s="7">
        <v>64</v>
      </c>
      <c r="J29" s="1">
        <v>49</v>
      </c>
      <c r="K29" s="13">
        <f>(Data_rising_stage[[#This Row],[Depth_of_water_column_to_sediment_layer]]/100)/Data_rising_stage[[#This Row],[Total_sampling_time]]</f>
        <v>1.1632653061224489E-2</v>
      </c>
      <c r="L29" s="6">
        <v>4.95</v>
      </c>
      <c r="M29" s="1" t="s">
        <v>124</v>
      </c>
      <c r="N29" s="13" cm="1">
        <f t="array" ref="N29">VLOOKUP(Data_rising_stage[[#This Row],[Filter_paper_number]], Data_filter_paper_weights[#All], COLUMN(Data_filter_paper_weights[Weight_of_sediment]), FALSE)</f>
        <v>0.61060000000000003</v>
      </c>
      <c r="O29" s="13">
        <f>Data_rising_stage[[#This Row],[Weight_of_sediment_per_0.5L]]*2</f>
        <v>1.2212000000000001</v>
      </c>
    </row>
    <row r="30" spans="1:15" x14ac:dyDescent="0.3">
      <c r="A30" s="1" t="s">
        <v>566</v>
      </c>
      <c r="B30" s="1">
        <v>0</v>
      </c>
      <c r="C30" s="1" t="s">
        <v>14</v>
      </c>
      <c r="D30" s="1" t="s">
        <v>16</v>
      </c>
      <c r="E30" s="1" t="s">
        <v>145</v>
      </c>
      <c r="F30" s="3" t="b">
        <v>1</v>
      </c>
      <c r="G30" s="3" t="b">
        <v>1</v>
      </c>
      <c r="H30" s="7">
        <v>57</v>
      </c>
      <c r="I30" s="7">
        <v>64</v>
      </c>
      <c r="J30" s="1">
        <v>45</v>
      </c>
      <c r="K30" s="13">
        <f>(Data_rising_stage[[#This Row],[Depth_of_water_column_to_sediment_layer]]/100)/Data_rising_stage[[#This Row],[Total_sampling_time]]</f>
        <v>1.2666666666666666E-2</v>
      </c>
      <c r="L30" s="6">
        <v>4.92</v>
      </c>
      <c r="M30" s="1" t="s">
        <v>123</v>
      </c>
      <c r="N30" s="13" cm="1">
        <f t="array" ref="N30">VLOOKUP(Data_rising_stage[[#This Row],[Filter_paper_number]], Data_filter_paper_weights[#All], COLUMN(Data_filter_paper_weights[Weight_of_sediment]), FALSE)</f>
        <v>6.855E-2</v>
      </c>
      <c r="O30" s="13">
        <f>Data_rising_stage[[#This Row],[Weight_of_sediment_per_0.5L]]*2</f>
        <v>0.1371</v>
      </c>
    </row>
    <row r="31" spans="1:15" x14ac:dyDescent="0.3">
      <c r="A31" s="1" t="s">
        <v>567</v>
      </c>
      <c r="B31" s="1">
        <v>0</v>
      </c>
      <c r="C31" s="1" t="s">
        <v>14</v>
      </c>
      <c r="D31" s="1" t="s">
        <v>16</v>
      </c>
      <c r="E31" s="1" t="s">
        <v>145</v>
      </c>
      <c r="F31" s="3" t="b">
        <v>0</v>
      </c>
      <c r="G31" s="3" t="b">
        <v>1</v>
      </c>
      <c r="H31" s="7">
        <v>57</v>
      </c>
      <c r="I31" s="7">
        <v>64</v>
      </c>
      <c r="J31" s="1">
        <v>41</v>
      </c>
      <c r="K31" s="13">
        <f>(Data_rising_stage[[#This Row],[Depth_of_water_column_to_sediment_layer]]/100)/Data_rising_stage[[#This Row],[Total_sampling_time]]</f>
        <v>1.3902439024390242E-2</v>
      </c>
      <c r="L31" s="6">
        <v>4.93</v>
      </c>
      <c r="M31" s="1" t="s">
        <v>122</v>
      </c>
      <c r="N31" s="13" cm="1">
        <f t="array" ref="N31">VLOOKUP(Data_rising_stage[[#This Row],[Filter_paper_number]], Data_filter_paper_weights[#All], COLUMN(Data_filter_paper_weights[Weight_of_sediment]), FALSE)</f>
        <v>5.8450000000000016E-2</v>
      </c>
      <c r="O31" s="13">
        <f>Data_rising_stage[[#This Row],[Weight_of_sediment_per_0.5L]]*2</f>
        <v>0.11690000000000003</v>
      </c>
    </row>
    <row r="32" spans="1:15" x14ac:dyDescent="0.3">
      <c r="A32" s="1" t="s">
        <v>568</v>
      </c>
      <c r="B32" s="1">
        <v>0</v>
      </c>
      <c r="C32" s="1" t="s">
        <v>14</v>
      </c>
      <c r="D32" s="1" t="s">
        <v>16</v>
      </c>
      <c r="E32" s="1" t="s">
        <v>144</v>
      </c>
      <c r="F32" s="3" t="b">
        <v>1</v>
      </c>
      <c r="G32" s="3" t="b">
        <v>1</v>
      </c>
      <c r="H32" s="7">
        <v>57</v>
      </c>
      <c r="I32" s="7">
        <v>64</v>
      </c>
      <c r="J32" s="1">
        <v>56</v>
      </c>
      <c r="K32" s="13">
        <f>(Data_rising_stage[[#This Row],[Depth_of_water_column_to_sediment_layer]]/100)/Data_rising_stage[[#This Row],[Total_sampling_time]]</f>
        <v>1.0178571428571427E-2</v>
      </c>
      <c r="L32" s="6">
        <v>5.05</v>
      </c>
      <c r="M32" s="1" t="s">
        <v>115</v>
      </c>
      <c r="N32" s="13" cm="1">
        <f t="array" ref="N32">VLOOKUP(Data_rising_stage[[#This Row],[Filter_paper_number]], Data_filter_paper_weights[#All], COLUMN(Data_filter_paper_weights[Weight_of_sediment]), FALSE)</f>
        <v>0.35589999999999999</v>
      </c>
      <c r="O32" s="13">
        <f>Data_rising_stage[[#This Row],[Weight_of_sediment_per_0.5L]]*2</f>
        <v>0.71179999999999999</v>
      </c>
    </row>
    <row r="33" spans="1:15" x14ac:dyDescent="0.3">
      <c r="A33" s="1" t="s">
        <v>569</v>
      </c>
      <c r="B33" s="1">
        <v>0</v>
      </c>
      <c r="C33" s="1" t="s">
        <v>14</v>
      </c>
      <c r="D33" s="1" t="s">
        <v>16</v>
      </c>
      <c r="E33" s="1" t="s">
        <v>144</v>
      </c>
      <c r="F33" s="3" t="b">
        <v>0</v>
      </c>
      <c r="G33" s="3" t="b">
        <v>1</v>
      </c>
      <c r="H33" s="7">
        <v>57</v>
      </c>
      <c r="I33" s="7">
        <v>64</v>
      </c>
      <c r="J33" s="1">
        <v>47</v>
      </c>
      <c r="K33" s="13">
        <f>(Data_rising_stage[[#This Row],[Depth_of_water_column_to_sediment_layer]]/100)/Data_rising_stage[[#This Row],[Total_sampling_time]]</f>
        <v>1.2127659574468085E-2</v>
      </c>
      <c r="L33" s="6">
        <v>5.08</v>
      </c>
      <c r="M33" s="1" t="s">
        <v>118</v>
      </c>
      <c r="N33" s="13" cm="1">
        <f t="array" ref="N33">VLOOKUP(Data_rising_stage[[#This Row],[Filter_paper_number]], Data_filter_paper_weights[#All], COLUMN(Data_filter_paper_weights[Weight_of_sediment]), FALSE)</f>
        <v>5.8650000000000008E-2</v>
      </c>
      <c r="O33" s="13">
        <f>Data_rising_stage[[#This Row],[Weight_of_sediment_per_0.5L]]*2</f>
        <v>0.11730000000000002</v>
      </c>
    </row>
    <row r="34" spans="1:15" x14ac:dyDescent="0.3">
      <c r="A34" s="1" t="s">
        <v>570</v>
      </c>
      <c r="B34" s="1">
        <v>0</v>
      </c>
      <c r="C34" s="1" t="s">
        <v>14</v>
      </c>
      <c r="D34" s="1" t="s">
        <v>17</v>
      </c>
      <c r="E34" s="1" t="s">
        <v>146</v>
      </c>
      <c r="F34" s="3" t="b">
        <v>1</v>
      </c>
      <c r="G34" s="3" t="b">
        <v>1</v>
      </c>
      <c r="H34" s="7">
        <v>57</v>
      </c>
      <c r="I34" s="7">
        <v>64</v>
      </c>
      <c r="J34" s="1">
        <v>44</v>
      </c>
      <c r="K34" s="13">
        <f>(Data_rising_stage[[#This Row],[Depth_of_water_column_to_sediment_layer]]/100)/Data_rising_stage[[#This Row],[Total_sampling_time]]</f>
        <v>1.2954545454545453E-2</v>
      </c>
      <c r="L34" s="6">
        <v>4.96</v>
      </c>
      <c r="M34" s="1" t="s">
        <v>259</v>
      </c>
      <c r="N34" s="13" cm="1">
        <f t="array" ref="N34">VLOOKUP(Data_rising_stage[[#This Row],[Filter_paper_number]], Data_filter_paper_weights[#All], COLUMN(Data_filter_paper_weights[Weight_of_sediment]), FALSE)</f>
        <v>4.863333333333332E-2</v>
      </c>
      <c r="O34" s="13">
        <f>Data_rising_stage[[#This Row],[Weight_of_sediment_per_0.5L]]*2</f>
        <v>9.726666666666664E-2</v>
      </c>
    </row>
    <row r="35" spans="1:15" x14ac:dyDescent="0.3">
      <c r="A35" s="1" t="s">
        <v>571</v>
      </c>
      <c r="B35" s="1">
        <v>0</v>
      </c>
      <c r="C35" s="1" t="s">
        <v>14</v>
      </c>
      <c r="D35" s="1" t="s">
        <v>17</v>
      </c>
      <c r="E35" s="1" t="s">
        <v>146</v>
      </c>
      <c r="F35" s="3" t="b">
        <v>0</v>
      </c>
      <c r="G35" s="3" t="b">
        <v>1</v>
      </c>
      <c r="H35" s="7">
        <v>57</v>
      </c>
      <c r="I35" s="7">
        <v>64</v>
      </c>
      <c r="J35" s="1">
        <v>46</v>
      </c>
      <c r="K35" s="13">
        <f>(Data_rising_stage[[#This Row],[Depth_of_water_column_to_sediment_layer]]/100)/Data_rising_stage[[#This Row],[Total_sampling_time]]</f>
        <v>1.2391304347826086E-2</v>
      </c>
      <c r="L35" s="6">
        <v>4.97</v>
      </c>
      <c r="M35" s="1" t="s">
        <v>135</v>
      </c>
      <c r="N35" s="13" cm="1">
        <f t="array" ref="N35">VLOOKUP(Data_rising_stage[[#This Row],[Filter_paper_number]], Data_filter_paper_weights[#All], COLUMN(Data_filter_paper_weights[Weight_of_sediment]), FALSE)</f>
        <v>0.10074999999999999</v>
      </c>
      <c r="O35" s="13">
        <f>Data_rising_stage[[#This Row],[Weight_of_sediment_per_0.5L]]*2</f>
        <v>0.20149999999999998</v>
      </c>
    </row>
    <row r="36" spans="1:15" x14ac:dyDescent="0.3">
      <c r="A36" s="1" t="s">
        <v>572</v>
      </c>
      <c r="B36" s="1">
        <v>0</v>
      </c>
      <c r="C36" s="1" t="s">
        <v>14</v>
      </c>
      <c r="D36" s="1" t="s">
        <v>17</v>
      </c>
      <c r="E36" s="1" t="s">
        <v>145</v>
      </c>
      <c r="F36" s="3" t="b">
        <v>1</v>
      </c>
      <c r="G36" s="3" t="b">
        <v>1</v>
      </c>
      <c r="H36" s="7">
        <v>57</v>
      </c>
      <c r="I36" s="7">
        <v>64</v>
      </c>
      <c r="J36" s="1">
        <v>55</v>
      </c>
      <c r="K36" s="13">
        <f>(Data_rising_stage[[#This Row],[Depth_of_water_column_to_sediment_layer]]/100)/Data_rising_stage[[#This Row],[Total_sampling_time]]</f>
        <v>1.0363636363636363E-2</v>
      </c>
      <c r="L36" s="6">
        <v>5.09</v>
      </c>
      <c r="M36" s="1" t="s">
        <v>248</v>
      </c>
      <c r="N36" s="13" cm="1">
        <f t="array" ref="N36">VLOOKUP(Data_rising_stage[[#This Row],[Filter_paper_number]], Data_filter_paper_weights[#All], COLUMN(Data_filter_paper_weights[Weight_of_sediment]), FALSE)</f>
        <v>7.4183333333333337E-2</v>
      </c>
      <c r="O36" s="13">
        <f>Data_rising_stage[[#This Row],[Weight_of_sediment_per_0.5L]]*2</f>
        <v>0.14836666666666667</v>
      </c>
    </row>
    <row r="37" spans="1:15" x14ac:dyDescent="0.3">
      <c r="A37" s="1" t="s">
        <v>573</v>
      </c>
      <c r="B37" s="1">
        <v>0</v>
      </c>
      <c r="C37" s="1" t="s">
        <v>14</v>
      </c>
      <c r="D37" s="1" t="s">
        <v>17</v>
      </c>
      <c r="E37" s="1" t="s">
        <v>145</v>
      </c>
      <c r="F37" s="3" t="b">
        <v>0</v>
      </c>
      <c r="G37" s="3" t="b">
        <v>1</v>
      </c>
      <c r="H37" s="7">
        <v>57</v>
      </c>
      <c r="I37" s="7">
        <v>64</v>
      </c>
      <c r="J37" s="1">
        <v>39</v>
      </c>
      <c r="K37" s="13">
        <f>(Data_rising_stage[[#This Row],[Depth_of_water_column_to_sediment_layer]]/100)/Data_rising_stage[[#This Row],[Total_sampling_time]]</f>
        <v>1.4615384615384613E-2</v>
      </c>
      <c r="L37" s="6">
        <v>5.05</v>
      </c>
      <c r="M37" s="1" t="s">
        <v>120</v>
      </c>
      <c r="N37" s="13" cm="1">
        <f t="array" ref="N37">VLOOKUP(Data_rising_stage[[#This Row],[Filter_paper_number]], Data_filter_paper_weights[#All], COLUMN(Data_filter_paper_weights[Weight_of_sediment]), FALSE)</f>
        <v>7.4650000000000008E-2</v>
      </c>
      <c r="O37" s="13">
        <f>Data_rising_stage[[#This Row],[Weight_of_sediment_per_0.5L]]*2</f>
        <v>0.14930000000000002</v>
      </c>
    </row>
    <row r="38" spans="1:15" x14ac:dyDescent="0.3">
      <c r="A38" s="1" t="s">
        <v>574</v>
      </c>
      <c r="B38" s="1">
        <v>0</v>
      </c>
      <c r="C38" s="1" t="s">
        <v>14</v>
      </c>
      <c r="D38" s="1" t="s">
        <v>17</v>
      </c>
      <c r="E38" s="1" t="s">
        <v>144</v>
      </c>
      <c r="F38" s="3" t="b">
        <v>1</v>
      </c>
      <c r="G38" s="3" t="b">
        <v>1</v>
      </c>
      <c r="H38" s="7">
        <v>57</v>
      </c>
      <c r="I38" s="7">
        <v>64</v>
      </c>
      <c r="J38" s="1">
        <v>41</v>
      </c>
      <c r="K38" s="13">
        <f>(Data_rising_stage[[#This Row],[Depth_of_water_column_to_sediment_layer]]/100)/Data_rising_stage[[#This Row],[Total_sampling_time]]</f>
        <v>1.3902439024390242E-2</v>
      </c>
      <c r="L38" s="6">
        <v>5.01</v>
      </c>
      <c r="M38" s="1" t="s">
        <v>266</v>
      </c>
      <c r="N38" s="13" cm="1">
        <f t="array" ref="N38">VLOOKUP(Data_rising_stage[[#This Row],[Filter_paper_number]], Data_filter_paper_weights[#All], COLUMN(Data_filter_paper_weights[Weight_of_sediment]), FALSE)</f>
        <v>4.1249999999999995E-2</v>
      </c>
      <c r="O38" s="13">
        <f>Data_rising_stage[[#This Row],[Weight_of_sediment_per_0.5L]]*2</f>
        <v>8.249999999999999E-2</v>
      </c>
    </row>
    <row r="39" spans="1:15" x14ac:dyDescent="0.3">
      <c r="A39" s="1" t="s">
        <v>575</v>
      </c>
      <c r="B39" s="1">
        <v>0</v>
      </c>
      <c r="C39" s="1" t="s">
        <v>14</v>
      </c>
      <c r="D39" s="1" t="s">
        <v>17</v>
      </c>
      <c r="E39" s="1" t="s">
        <v>144</v>
      </c>
      <c r="F39" s="3" t="b">
        <v>0</v>
      </c>
      <c r="G39" s="3" t="b">
        <v>1</v>
      </c>
      <c r="H39" s="7">
        <v>57</v>
      </c>
      <c r="I39" s="7">
        <v>64</v>
      </c>
      <c r="J39" s="1">
        <v>44</v>
      </c>
      <c r="K39" s="13">
        <f>(Data_rising_stage[[#This Row],[Depth_of_water_column_to_sediment_layer]]/100)/Data_rising_stage[[#This Row],[Total_sampling_time]]</f>
        <v>1.2954545454545453E-2</v>
      </c>
      <c r="L39" s="6">
        <v>4.91</v>
      </c>
      <c r="M39" s="1" t="s">
        <v>125</v>
      </c>
      <c r="N39" s="13" cm="1">
        <f t="array" ref="N39">VLOOKUP(Data_rising_stage[[#This Row],[Filter_paper_number]], Data_filter_paper_weights[#All], COLUMN(Data_filter_paper_weights[Weight_of_sediment]), FALSE)</f>
        <v>5.4783333333333309E-2</v>
      </c>
      <c r="O39" s="13">
        <f>Data_rising_stage[[#This Row],[Weight_of_sediment_per_0.5L]]*2</f>
        <v>0.10956666666666662</v>
      </c>
    </row>
  </sheetData>
  <phoneticPr fontId="1" type="noConversion"/>
  <conditionalFormatting sqref="J22:M39 F36:F39 G22:G39 A4:E39 G4:M21">
    <cfRule type="expression" dxfId="50" priority="17">
      <formula>IF($A$1&lt;&gt;"",SEARCH($A$1,#REF!),"")</formula>
    </cfRule>
  </conditionalFormatting>
  <conditionalFormatting sqref="H22:I39">
    <cfRule type="cellIs" dxfId="49" priority="1" operator="lessThan">
      <formula>0</formula>
    </cfRule>
  </conditionalFormatting>
  <conditionalFormatting sqref="J4:K33">
    <cfRule type="expression" dxfId="48" priority="23">
      <formula>IF($A$1&lt;&gt;"",SEARCH($A$1,#REF!),"")</formula>
    </cfRule>
  </conditionalFormatting>
  <dataValidations count="3">
    <dataValidation type="list" allowBlank="1" showInputMessage="1" showErrorMessage="1" sqref="D4:D1048576" xr:uid="{058D60BF-2B86-4A78-B131-DDC26D1C3A18}">
      <formula1>"Day_1,Day_2,Day_3"</formula1>
    </dataValidation>
    <dataValidation type="custom" allowBlank="1" showInputMessage="1" showErrorMessage="1" sqref="M4:M39" xr:uid="{4D4408FA-B920-4687-A131-485AC815A165}">
      <formula1>COUNTIF($M$4:$M$39, M4)=1</formula1>
    </dataValidation>
    <dataValidation type="list" allowBlank="1" showInputMessage="1" showErrorMessage="1" sqref="E4:E1048576" xr:uid="{7ADD5857-0339-4C00-9720-6F5CAC5B701E}">
      <formula1>"T,M,B"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TextBox1">
          <controlPr defaultSize="0" autoLine="0" linkedCell="A1" r:id="rId5">
            <anchor moveWithCells="1">
              <from>
                <xdr:col>0</xdr:col>
                <xdr:colOff>45720</xdr:colOff>
                <xdr:row>0</xdr:row>
                <xdr:rowOff>22860</xdr:rowOff>
              </from>
              <to>
                <xdr:col>15</xdr:col>
                <xdr:colOff>129540</xdr:colOff>
                <xdr:row>1</xdr:row>
                <xdr:rowOff>83820</xdr:rowOff>
              </to>
            </anchor>
          </controlPr>
        </control>
      </mc:Choice>
      <mc:Fallback>
        <control shapeId="2052" r:id="rId4" name="TextBox1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D74F-11BF-4F59-BC55-484204F62EA5}">
  <sheetPr codeName="Sheet9"/>
  <dimension ref="A1:N30"/>
  <sheetViews>
    <sheetView tabSelected="1" topLeftCell="E9" workbookViewId="0">
      <selection activeCell="K49" sqref="K49"/>
    </sheetView>
  </sheetViews>
  <sheetFormatPr defaultRowHeight="14.4" x14ac:dyDescent="0.3"/>
  <cols>
    <col min="1" max="1" width="44.44140625" bestFit="1" customWidth="1"/>
    <col min="2" max="2" width="10.77734375" customWidth="1"/>
    <col min="3" max="3" width="12" bestFit="1" customWidth="1"/>
    <col min="4" max="4" width="9" customWidth="1"/>
    <col min="5" max="6" width="6.5546875" bestFit="1" customWidth="1"/>
    <col min="7" max="7" width="7.88671875" customWidth="1"/>
    <col min="8" max="8" width="17.77734375" customWidth="1"/>
    <col min="9" max="9" width="18.21875" customWidth="1"/>
    <col min="10" max="10" width="23.33203125" customWidth="1"/>
    <col min="11" max="11" width="17" customWidth="1"/>
    <col min="12" max="12" width="13.77734375" customWidth="1"/>
    <col min="13" max="14" width="14" customWidth="1"/>
  </cols>
  <sheetData>
    <row r="1" spans="1:14" s="16" customFormat="1" x14ac:dyDescent="0.3">
      <c r="A1" s="16" t="s">
        <v>589</v>
      </c>
      <c r="B1" s="16" t="s">
        <v>590</v>
      </c>
      <c r="C1" s="16" t="s">
        <v>580</v>
      </c>
      <c r="D1" s="16" t="s">
        <v>581</v>
      </c>
      <c r="E1" s="16" t="s">
        <v>582</v>
      </c>
      <c r="F1" s="16" t="s">
        <v>583</v>
      </c>
      <c r="G1" s="16" t="s">
        <v>584</v>
      </c>
      <c r="H1" s="16" t="s">
        <v>591</v>
      </c>
      <c r="I1" s="16" t="s">
        <v>592</v>
      </c>
      <c r="J1" s="16" t="s">
        <v>593</v>
      </c>
      <c r="K1" s="16" t="s">
        <v>585</v>
      </c>
      <c r="L1" s="16" t="s">
        <v>586</v>
      </c>
      <c r="M1" s="16" t="s">
        <v>587</v>
      </c>
    </row>
    <row r="2" spans="1:14" x14ac:dyDescent="0.3">
      <c r="A2" t="s">
        <v>594</v>
      </c>
      <c r="B2">
        <v>36</v>
      </c>
      <c r="C2">
        <v>0.17530277777777781</v>
      </c>
      <c r="D2" s="4">
        <v>0.11844999999999999</v>
      </c>
      <c r="E2" s="4">
        <v>4.8999999999999877E-3</v>
      </c>
      <c r="F2" s="4">
        <v>1.2212000000000001</v>
      </c>
      <c r="G2" s="4">
        <v>1.2163000000000002</v>
      </c>
      <c r="H2" s="4">
        <v>0.10664999999999999</v>
      </c>
      <c r="I2" s="4">
        <v>0.15007500000000001</v>
      </c>
      <c r="J2" s="4">
        <v>4.3425000000000019E-2</v>
      </c>
      <c r="K2" s="4">
        <v>0.20879878327429346</v>
      </c>
      <c r="L2" s="4">
        <v>0.1046554335554164</v>
      </c>
      <c r="M2" s="4">
        <v>0.24595012200013922</v>
      </c>
      <c r="N2" s="4"/>
    </row>
    <row r="3" spans="1:14" x14ac:dyDescent="0.3">
      <c r="A3" t="s">
        <v>595</v>
      </c>
      <c r="B3">
        <v>18</v>
      </c>
      <c r="C3">
        <v>0.22321111111111114</v>
      </c>
      <c r="D3" s="4">
        <v>0.11774999999999999</v>
      </c>
      <c r="E3" s="4">
        <v>8.249999999999999E-2</v>
      </c>
      <c r="F3" s="4">
        <v>1.2212000000000001</v>
      </c>
      <c r="G3" s="4">
        <v>1.1387</v>
      </c>
      <c r="H3" s="4">
        <v>0.10761666666666664</v>
      </c>
      <c r="I3" s="4">
        <v>0.14906666666666668</v>
      </c>
      <c r="J3" s="4">
        <v>4.1450000000000042E-2</v>
      </c>
      <c r="K3" s="4">
        <v>0.2866779835887468</v>
      </c>
      <c r="L3" s="4">
        <v>8.0649503800438449E-2</v>
      </c>
      <c r="M3" s="4">
        <v>0.36577271842178383</v>
      </c>
      <c r="N3" s="4"/>
    </row>
    <row r="4" spans="1:14" x14ac:dyDescent="0.3">
      <c r="A4" t="s">
        <v>596</v>
      </c>
      <c r="B4">
        <v>18</v>
      </c>
      <c r="C4">
        <v>0.12739444444444445</v>
      </c>
      <c r="D4" s="4">
        <v>0.1198</v>
      </c>
      <c r="E4" s="4">
        <v>4.8999999999999877E-3</v>
      </c>
      <c r="F4" s="4">
        <v>0.23829999999999996</v>
      </c>
      <c r="G4" s="4">
        <v>0.23339999999999997</v>
      </c>
      <c r="H4" s="4">
        <v>0.10099999999999998</v>
      </c>
      <c r="I4" s="4">
        <v>0.15037500000000001</v>
      </c>
      <c r="J4" s="4">
        <v>4.937500000000003E-2</v>
      </c>
      <c r="K4" s="4">
        <v>5.2093009140451695E-2</v>
      </c>
      <c r="L4" s="4">
        <v>0.10148920044996328</v>
      </c>
      <c r="M4" s="4">
        <v>0.15329968843892564</v>
      </c>
      <c r="N4" s="4"/>
    </row>
    <row r="5" spans="1:14" x14ac:dyDescent="0.3">
      <c r="A5" t="s">
        <v>597</v>
      </c>
      <c r="B5">
        <v>12</v>
      </c>
      <c r="C5">
        <v>0.1482222222222222</v>
      </c>
      <c r="D5" s="4">
        <v>0.10308333333333332</v>
      </c>
      <c r="E5" s="4">
        <v>4.8999999999999877E-3</v>
      </c>
      <c r="F5" s="4">
        <v>0.71179999999999999</v>
      </c>
      <c r="G5" s="4">
        <v>0.70689999999999997</v>
      </c>
      <c r="H5" s="4">
        <v>9.3574999999999978E-2</v>
      </c>
      <c r="I5" s="4">
        <v>0.11377500000000002</v>
      </c>
      <c r="J5" s="4">
        <v>2.0200000000000037E-2</v>
      </c>
      <c r="K5" s="4">
        <v>0.18082439460289004</v>
      </c>
      <c r="L5" s="4">
        <v>3.333188316163177E-2</v>
      </c>
      <c r="M5" s="4">
        <v>0.26311256128281263</v>
      </c>
      <c r="N5" s="4"/>
    </row>
    <row r="6" spans="1:14" x14ac:dyDescent="0.3">
      <c r="A6" t="s">
        <v>598</v>
      </c>
      <c r="B6">
        <v>12</v>
      </c>
      <c r="C6">
        <v>0.13179444444444446</v>
      </c>
      <c r="D6" s="4">
        <v>0.12170000000000003</v>
      </c>
      <c r="E6" s="4">
        <v>9.3033333333333301E-2</v>
      </c>
      <c r="F6" s="4">
        <v>0.23829999999999996</v>
      </c>
      <c r="G6" s="4">
        <v>0.14526666666666666</v>
      </c>
      <c r="H6" s="4">
        <v>0.10830000000000001</v>
      </c>
      <c r="I6" s="4">
        <v>0.14014166666666664</v>
      </c>
      <c r="J6" s="4">
        <v>3.1841666666666629E-2</v>
      </c>
      <c r="K6" s="4">
        <v>3.8021006509914079E-2</v>
      </c>
      <c r="L6" s="4">
        <v>0.10763704942624415</v>
      </c>
      <c r="M6" s="4">
        <v>0.15595183946264479</v>
      </c>
      <c r="N6" s="4"/>
    </row>
    <row r="7" spans="1:14" x14ac:dyDescent="0.3">
      <c r="A7" t="s">
        <v>599</v>
      </c>
      <c r="B7">
        <v>12</v>
      </c>
      <c r="C7">
        <v>0.24589166666666662</v>
      </c>
      <c r="D7" s="4">
        <v>0.14834999999999998</v>
      </c>
      <c r="E7" s="4">
        <v>9.726666666666664E-2</v>
      </c>
      <c r="F7" s="4">
        <v>1.2212000000000001</v>
      </c>
      <c r="G7" s="4">
        <v>1.1239333333333335</v>
      </c>
      <c r="H7" s="4">
        <v>0.12035000000000001</v>
      </c>
      <c r="I7" s="4">
        <v>0.206675</v>
      </c>
      <c r="J7" s="4">
        <v>8.6324999999999985E-2</v>
      </c>
      <c r="K7" s="4">
        <v>0.31027985872808966</v>
      </c>
      <c r="L7" s="4">
        <v>4.874924984160528E-2</v>
      </c>
      <c r="M7" s="4">
        <v>0.44303408349172796</v>
      </c>
      <c r="N7" s="4"/>
    </row>
    <row r="8" spans="1:14" x14ac:dyDescent="0.3">
      <c r="A8" t="s">
        <v>600</v>
      </c>
      <c r="B8">
        <v>18</v>
      </c>
      <c r="C8">
        <v>0.16051296296296294</v>
      </c>
      <c r="D8" s="4">
        <v>0.12235</v>
      </c>
      <c r="E8" s="4">
        <v>8.249999999999999E-2</v>
      </c>
      <c r="F8" s="4">
        <v>0.71179999999999999</v>
      </c>
      <c r="G8" s="4">
        <v>0.62929999999999997</v>
      </c>
      <c r="H8" s="4">
        <v>0.10676666666666665</v>
      </c>
      <c r="I8" s="4">
        <v>0.14735000000000001</v>
      </c>
      <c r="J8" s="4">
        <v>4.058333333333336E-2</v>
      </c>
      <c r="K8" s="4">
        <v>0.14246958677349464</v>
      </c>
      <c r="L8" s="4">
        <v>8.9664504253090735E-2</v>
      </c>
      <c r="M8" s="4">
        <v>0.23136142167283513</v>
      </c>
      <c r="N8" s="4"/>
    </row>
    <row r="9" spans="1:14" x14ac:dyDescent="0.3">
      <c r="A9" t="s">
        <v>601</v>
      </c>
      <c r="B9">
        <v>18</v>
      </c>
      <c r="C9">
        <v>0.19009259259259262</v>
      </c>
      <c r="D9" s="4">
        <v>0.11800000000000001</v>
      </c>
      <c r="E9" s="4">
        <v>4.8999999999999877E-3</v>
      </c>
      <c r="F9" s="4">
        <v>1.2212000000000001</v>
      </c>
      <c r="G9" s="4">
        <v>1.2163000000000002</v>
      </c>
      <c r="H9" s="4">
        <v>0.10726666666666668</v>
      </c>
      <c r="I9" s="4">
        <v>0.15350000000000003</v>
      </c>
      <c r="J9" s="4">
        <v>4.6233333333333348E-2</v>
      </c>
      <c r="K9" s="4">
        <v>0.26267393255491395</v>
      </c>
      <c r="L9" s="4">
        <v>5.9467919030762428E-2</v>
      </c>
      <c r="M9" s="4">
        <v>0.32071726615442281</v>
      </c>
      <c r="N9" s="4"/>
    </row>
    <row r="10" spans="1:14" x14ac:dyDescent="0.3">
      <c r="A10" t="s">
        <v>602</v>
      </c>
      <c r="B10">
        <v>12</v>
      </c>
      <c r="C10">
        <v>0.13549444444444445</v>
      </c>
      <c r="D10" s="4">
        <v>0.11260000000000002</v>
      </c>
      <c r="E10" s="4">
        <v>9.3033333333333301E-2</v>
      </c>
      <c r="F10" s="4">
        <v>0.23829999999999996</v>
      </c>
      <c r="G10" s="4">
        <v>0.14526666666666666</v>
      </c>
      <c r="H10" s="4">
        <v>0.1069</v>
      </c>
      <c r="I10" s="4">
        <v>0.15302500000000002</v>
      </c>
      <c r="J10" s="4">
        <v>4.6125000000000027E-2</v>
      </c>
      <c r="K10" s="4">
        <v>4.8214124325883775E-2</v>
      </c>
      <c r="L10" s="4">
        <v>0.10486065134658709</v>
      </c>
      <c r="M10" s="4">
        <v>0.1661282375423018</v>
      </c>
      <c r="N10" s="4"/>
    </row>
    <row r="11" spans="1:14" x14ac:dyDescent="0.3">
      <c r="A11" t="s">
        <v>603</v>
      </c>
      <c r="B11">
        <v>12</v>
      </c>
      <c r="C11">
        <v>0.26563333333333339</v>
      </c>
      <c r="D11" s="4">
        <v>0.12790000000000001</v>
      </c>
      <c r="E11" s="4">
        <v>4.8999999999999877E-3</v>
      </c>
      <c r="F11" s="4">
        <v>1.2212000000000001</v>
      </c>
      <c r="G11" s="4">
        <v>1.2163000000000002</v>
      </c>
      <c r="H11" s="4">
        <v>0.11430000000000004</v>
      </c>
      <c r="I11" s="4">
        <v>0.18909999999999996</v>
      </c>
      <c r="J11" s="4">
        <v>7.4799999999999922E-2</v>
      </c>
      <c r="K11" s="4">
        <v>0.34900349944701498</v>
      </c>
      <c r="L11" s="4">
        <v>4.3887089012384473E-2</v>
      </c>
      <c r="M11" s="4">
        <v>0.4873795776542823</v>
      </c>
      <c r="N11" s="4"/>
    </row>
    <row r="12" spans="1:14" x14ac:dyDescent="0.3">
      <c r="A12" t="s">
        <v>604</v>
      </c>
      <c r="B12">
        <v>12</v>
      </c>
      <c r="C12">
        <v>0.12478055555555555</v>
      </c>
      <c r="D12" s="4">
        <v>0.12370000000000002</v>
      </c>
      <c r="E12" s="4">
        <v>8.249999999999999E-2</v>
      </c>
      <c r="F12" s="4">
        <v>0.20149999999999998</v>
      </c>
      <c r="G12" s="4">
        <v>0.11899999999999999</v>
      </c>
      <c r="H12" s="4">
        <v>9.726666666666664E-2</v>
      </c>
      <c r="I12" s="4">
        <v>0.14531666666666665</v>
      </c>
      <c r="J12" s="4">
        <v>4.8050000000000009E-2</v>
      </c>
      <c r="K12" s="4">
        <v>3.427487361434698E-2</v>
      </c>
      <c r="L12" s="4">
        <v>0.10300333982391072</v>
      </c>
      <c r="M12" s="4">
        <v>0.14655777128720038</v>
      </c>
      <c r="N12" s="4"/>
    </row>
    <row r="13" spans="1:14" x14ac:dyDescent="0.3">
      <c r="A13" t="s">
        <v>605</v>
      </c>
      <c r="B13">
        <v>6</v>
      </c>
      <c r="C13">
        <v>9.1888888888888867E-2</v>
      </c>
      <c r="D13" s="4">
        <v>9.8216666666666633E-2</v>
      </c>
      <c r="E13" s="4">
        <v>4.8999999999999877E-3</v>
      </c>
      <c r="F13" s="4">
        <v>0.15490000000000001</v>
      </c>
      <c r="G13" s="4">
        <v>0.15000000000000002</v>
      </c>
      <c r="H13" s="4">
        <v>8.6191666666666653E-2</v>
      </c>
      <c r="I13" s="4">
        <v>0.10924166666666665</v>
      </c>
      <c r="J13" s="4">
        <v>2.3050000000000001E-2</v>
      </c>
      <c r="K13" s="4">
        <v>4.9267544722291216E-2</v>
      </c>
      <c r="L13" s="4">
        <v>4.0185771567147144E-2</v>
      </c>
      <c r="M13" s="4">
        <v>0.14359200621063059</v>
      </c>
      <c r="N13" s="4"/>
    </row>
    <row r="14" spans="1:14" x14ac:dyDescent="0.3">
      <c r="A14" t="s">
        <v>606</v>
      </c>
      <c r="B14">
        <v>6</v>
      </c>
      <c r="C14">
        <v>0.13509444444444443</v>
      </c>
      <c r="D14" s="4">
        <v>0.11766666666666668</v>
      </c>
      <c r="E14" s="4">
        <v>9.3033333333333301E-2</v>
      </c>
      <c r="F14" s="4">
        <v>0.23829999999999996</v>
      </c>
      <c r="G14" s="4">
        <v>0.14526666666666666</v>
      </c>
      <c r="H14" s="4">
        <v>0.10708333333333336</v>
      </c>
      <c r="I14" s="4">
        <v>0.13467499999999999</v>
      </c>
      <c r="J14" s="4">
        <v>2.7591666666666625E-2</v>
      </c>
      <c r="K14" s="4">
        <v>5.2928238279838905E-2</v>
      </c>
      <c r="L14" s="4">
        <v>7.9549664836674555E-2</v>
      </c>
      <c r="M14" s="4">
        <v>0.19063922405221431</v>
      </c>
      <c r="N14" s="4"/>
    </row>
    <row r="15" spans="1:14" x14ac:dyDescent="0.3">
      <c r="A15" t="s">
        <v>607</v>
      </c>
      <c r="B15">
        <v>6</v>
      </c>
      <c r="C15">
        <v>0.1552</v>
      </c>
      <c r="D15" s="4">
        <v>0.14834999999999998</v>
      </c>
      <c r="E15" s="4">
        <v>0.1187</v>
      </c>
      <c r="F15" s="4">
        <v>0.22220000000000001</v>
      </c>
      <c r="G15" s="4">
        <v>0.10350000000000001</v>
      </c>
      <c r="H15" s="4">
        <v>0.12675</v>
      </c>
      <c r="I15" s="4">
        <v>0.16762499999999997</v>
      </c>
      <c r="J15" s="4">
        <v>4.0874999999999967E-2</v>
      </c>
      <c r="K15" s="4">
        <v>3.8550330737880806E-2</v>
      </c>
      <c r="L15" s="4">
        <v>0.11474390899389023</v>
      </c>
      <c r="M15" s="4">
        <v>0.19565609100610978</v>
      </c>
      <c r="N15" s="4"/>
    </row>
    <row r="16" spans="1:14" x14ac:dyDescent="0.3">
      <c r="A16" t="s">
        <v>608</v>
      </c>
      <c r="B16">
        <v>6</v>
      </c>
      <c r="C16">
        <v>0.20455555555555552</v>
      </c>
      <c r="D16" s="4">
        <v>0.10826666666666664</v>
      </c>
      <c r="E16" s="4">
        <v>8.249999999999999E-2</v>
      </c>
      <c r="F16" s="4">
        <v>0.71179999999999999</v>
      </c>
      <c r="G16" s="4">
        <v>0.62929999999999997</v>
      </c>
      <c r="H16" s="4">
        <v>0.10114166666666666</v>
      </c>
      <c r="I16" s="4">
        <v>0.11536666666666667</v>
      </c>
      <c r="J16" s="4">
        <v>1.4225000000000015E-2</v>
      </c>
      <c r="K16" s="4">
        <v>0.24877873316277271</v>
      </c>
      <c r="L16" s="4">
        <v>-5.6521713473631302E-2</v>
      </c>
      <c r="M16" s="4">
        <v>0.46563282458474231</v>
      </c>
      <c r="N16" s="4"/>
    </row>
    <row r="17" spans="1:14" x14ac:dyDescent="0.3">
      <c r="A17" t="s">
        <v>609</v>
      </c>
      <c r="B17">
        <v>6</v>
      </c>
      <c r="C17">
        <v>0.12849444444444444</v>
      </c>
      <c r="D17" s="4">
        <v>0.127</v>
      </c>
      <c r="E17" s="4">
        <v>0.10669999999999999</v>
      </c>
      <c r="F17" s="4">
        <v>0.14930000000000002</v>
      </c>
      <c r="G17" s="4">
        <v>4.2600000000000027E-2</v>
      </c>
      <c r="H17" s="4">
        <v>0.11367500000000003</v>
      </c>
      <c r="I17" s="4">
        <v>0.14555000000000001</v>
      </c>
      <c r="J17" s="4">
        <v>3.1874999999999987E-2</v>
      </c>
      <c r="K17" s="4">
        <v>1.8782408041884666E-2</v>
      </c>
      <c r="L17" s="4">
        <v>0.10878351604222172</v>
      </c>
      <c r="M17" s="4">
        <v>0.14820537284666715</v>
      </c>
      <c r="N17" s="4"/>
    </row>
    <row r="18" spans="1:14" x14ac:dyDescent="0.3">
      <c r="A18" t="s">
        <v>610</v>
      </c>
      <c r="B18">
        <v>6</v>
      </c>
      <c r="C18">
        <v>0.33658333333333329</v>
      </c>
      <c r="D18" s="4">
        <v>0.17226666666666668</v>
      </c>
      <c r="E18" s="4">
        <v>9.726666666666664E-2</v>
      </c>
      <c r="F18" s="4">
        <v>1.2212000000000001</v>
      </c>
      <c r="G18" s="4">
        <v>1.1239333333333335</v>
      </c>
      <c r="H18" s="4">
        <v>0.12440833333333332</v>
      </c>
      <c r="I18" s="4">
        <v>0.22909999999999997</v>
      </c>
      <c r="J18" s="4">
        <v>0.10469166666666666</v>
      </c>
      <c r="K18" s="4">
        <v>0.43654990945417049</v>
      </c>
      <c r="L18" s="4">
        <v>-0.12154770024123829</v>
      </c>
      <c r="M18" s="4">
        <v>0.79471436690790487</v>
      </c>
      <c r="N18" s="4"/>
    </row>
    <row r="19" spans="1:14" x14ac:dyDescent="0.3">
      <c r="A19" t="s">
        <v>611</v>
      </c>
      <c r="B19">
        <v>6</v>
      </c>
      <c r="C19">
        <v>0.19925555555555555</v>
      </c>
      <c r="D19" s="4">
        <v>0.10306666666666664</v>
      </c>
      <c r="E19" s="4">
        <v>8.249999999999999E-2</v>
      </c>
      <c r="F19" s="4">
        <v>0.71179999999999999</v>
      </c>
      <c r="G19" s="4">
        <v>0.62929999999999997</v>
      </c>
      <c r="H19" s="4">
        <v>8.6666666666666642E-2</v>
      </c>
      <c r="I19" s="4">
        <v>0.11119166666666666</v>
      </c>
      <c r="J19" s="4">
        <v>2.4525000000000019E-2</v>
      </c>
      <c r="K19" s="4">
        <v>0.25139997495506522</v>
      </c>
      <c r="L19" s="4">
        <v>-6.4572538031247823E-2</v>
      </c>
      <c r="M19" s="4">
        <v>0.46308364914235889</v>
      </c>
      <c r="N19" s="4"/>
    </row>
    <row r="20" spans="1:14" x14ac:dyDescent="0.3">
      <c r="A20" t="s">
        <v>612</v>
      </c>
      <c r="B20">
        <v>6</v>
      </c>
      <c r="C20">
        <v>0.14430000000000001</v>
      </c>
      <c r="D20" s="4">
        <v>0.13180000000000003</v>
      </c>
      <c r="E20" s="4">
        <v>0.10669999999999999</v>
      </c>
      <c r="F20" s="4">
        <v>0.23829999999999996</v>
      </c>
      <c r="G20" s="4">
        <v>0.13159999999999997</v>
      </c>
      <c r="H20" s="4">
        <v>0.11325000000000002</v>
      </c>
      <c r="I20" s="4">
        <v>0.14555000000000001</v>
      </c>
      <c r="J20" s="4">
        <v>3.2299999999999995E-2</v>
      </c>
      <c r="K20" s="4">
        <v>4.8770610457984233E-2</v>
      </c>
      <c r="L20" s="4">
        <v>9.311838320590754E-2</v>
      </c>
      <c r="M20" s="4">
        <v>0.19548161679409248</v>
      </c>
      <c r="N20" s="4"/>
    </row>
    <row r="21" spans="1:14" x14ac:dyDescent="0.3">
      <c r="A21" t="s">
        <v>613</v>
      </c>
      <c r="B21">
        <v>6</v>
      </c>
      <c r="C21">
        <v>0.13798333333333332</v>
      </c>
      <c r="D21" s="4">
        <v>0.14366666666666666</v>
      </c>
      <c r="E21" s="4">
        <v>9.726666666666664E-2</v>
      </c>
      <c r="F21" s="4">
        <v>0.17269999999999996</v>
      </c>
      <c r="G21" s="4">
        <v>7.5433333333333324E-2</v>
      </c>
      <c r="H21" s="4">
        <v>0.12440833333333332</v>
      </c>
      <c r="I21" s="4">
        <v>0.15037500000000001</v>
      </c>
      <c r="J21" s="4">
        <v>2.5966666666666693E-2</v>
      </c>
      <c r="K21" s="4">
        <v>2.6562067774261251E-2</v>
      </c>
      <c r="L21" s="4">
        <v>0.11010815274169095</v>
      </c>
      <c r="M21" s="4">
        <v>0.16585851392497569</v>
      </c>
      <c r="N21" s="4"/>
    </row>
    <row r="22" spans="1:14" x14ac:dyDescent="0.3">
      <c r="A22" t="s">
        <v>614</v>
      </c>
      <c r="B22">
        <v>6</v>
      </c>
      <c r="C22">
        <v>9.718888888888888E-2</v>
      </c>
      <c r="D22" s="4">
        <v>0.1043833333333333</v>
      </c>
      <c r="E22" s="4">
        <v>4.8999999999999877E-3</v>
      </c>
      <c r="F22" s="4">
        <v>0.15490000000000001</v>
      </c>
      <c r="G22" s="4">
        <v>0.15000000000000002</v>
      </c>
      <c r="H22" s="4">
        <v>9.7749999999999976E-2</v>
      </c>
      <c r="I22" s="4">
        <v>0.11536666666666667</v>
      </c>
      <c r="J22" s="4">
        <v>1.7616666666666697E-2</v>
      </c>
      <c r="K22" s="4">
        <v>4.9818727699828202E-2</v>
      </c>
      <c r="L22" s="4">
        <v>4.4907340506415858E-2</v>
      </c>
      <c r="M22" s="4">
        <v>0.14947043727136189</v>
      </c>
      <c r="N22" s="4"/>
    </row>
    <row r="23" spans="1:14" x14ac:dyDescent="0.3">
      <c r="A23" t="s">
        <v>615</v>
      </c>
      <c r="B23">
        <v>6</v>
      </c>
      <c r="C23">
        <v>0.11928888888888889</v>
      </c>
      <c r="D23" s="4">
        <v>0.11475000000000003</v>
      </c>
      <c r="E23" s="4">
        <v>9.3033333333333301E-2</v>
      </c>
      <c r="F23" s="4">
        <v>0.14930000000000002</v>
      </c>
      <c r="G23" s="4">
        <v>5.6266666666666715E-2</v>
      </c>
      <c r="H23" s="4">
        <v>0.10802500000000004</v>
      </c>
      <c r="I23" s="4">
        <v>0.13227499999999998</v>
      </c>
      <c r="J23" s="4">
        <v>2.4249999999999938E-2</v>
      </c>
      <c r="K23" s="4">
        <v>2.0649634558689067E-2</v>
      </c>
      <c r="L23" s="4">
        <v>9.7618426432172792E-2</v>
      </c>
      <c r="M23" s="4">
        <v>0.140959351345605</v>
      </c>
      <c r="N23" s="4"/>
    </row>
    <row r="24" spans="1:14" x14ac:dyDescent="0.3">
      <c r="A24" t="s">
        <v>616</v>
      </c>
      <c r="B24">
        <v>6</v>
      </c>
      <c r="C24">
        <v>0.35379999999999995</v>
      </c>
      <c r="D24" s="4">
        <v>0.21184999999999998</v>
      </c>
      <c r="E24" s="4">
        <v>0.1187</v>
      </c>
      <c r="F24" s="4">
        <v>1.2212000000000001</v>
      </c>
      <c r="G24" s="4">
        <v>1.1025</v>
      </c>
      <c r="H24" s="4">
        <v>0.14105000000000001</v>
      </c>
      <c r="I24" s="4">
        <v>0.23427499999999996</v>
      </c>
      <c r="J24" s="4">
        <v>9.3224999999999947E-2</v>
      </c>
      <c r="K24" s="4">
        <v>0.42796057762368722</v>
      </c>
      <c r="L24" s="4">
        <v>-9.5317082628769478E-2</v>
      </c>
      <c r="M24" s="4">
        <v>0.80291708262876937</v>
      </c>
      <c r="N24" s="4"/>
    </row>
    <row r="25" spans="1:14" x14ac:dyDescent="0.3">
      <c r="A25" t="s">
        <v>617</v>
      </c>
      <c r="B25">
        <v>4</v>
      </c>
      <c r="C25">
        <v>0.11841666666666667</v>
      </c>
      <c r="D25" s="4">
        <v>0.10978333333333333</v>
      </c>
      <c r="E25" s="4">
        <v>9.9199999999999983E-2</v>
      </c>
      <c r="F25" s="4">
        <v>0.15490000000000001</v>
      </c>
      <c r="G25" s="4">
        <v>5.5700000000000027E-2</v>
      </c>
      <c r="H25" s="4">
        <v>0.10502499999999998</v>
      </c>
      <c r="I25" s="4">
        <v>0.12317500000000001</v>
      </c>
      <c r="J25" s="4">
        <v>1.8150000000000027E-2</v>
      </c>
      <c r="K25" s="4">
        <v>2.4934915279583358E-2</v>
      </c>
      <c r="L25" s="4">
        <v>7.8739652164630497E-2</v>
      </c>
      <c r="M25" s="4">
        <v>0.15809368116870284</v>
      </c>
      <c r="N25" s="4"/>
    </row>
    <row r="26" spans="1:14" x14ac:dyDescent="0.3">
      <c r="A26" t="s">
        <v>618</v>
      </c>
      <c r="B26">
        <v>4</v>
      </c>
      <c r="C26">
        <v>0.10529166666666667</v>
      </c>
      <c r="D26" s="4">
        <v>0.10776666666666666</v>
      </c>
      <c r="E26" s="4">
        <v>9.3033333333333301E-2</v>
      </c>
      <c r="F26" s="4">
        <v>0.11260000000000003</v>
      </c>
      <c r="G26" s="4">
        <v>1.9566666666666732E-2</v>
      </c>
      <c r="H26" s="4">
        <v>0.10328333333333331</v>
      </c>
      <c r="I26" s="4">
        <v>0.10977500000000001</v>
      </c>
      <c r="J26" s="4">
        <v>6.4916666666667011E-3</v>
      </c>
      <c r="K26" s="4">
        <v>8.528487122144995E-3</v>
      </c>
      <c r="L26" s="4">
        <v>9.1720940500901654E-2</v>
      </c>
      <c r="M26" s="4">
        <v>0.11886239283243169</v>
      </c>
      <c r="N26" s="4"/>
    </row>
    <row r="27" spans="1:14" x14ac:dyDescent="0.3">
      <c r="A27" t="s">
        <v>619</v>
      </c>
      <c r="B27">
        <v>4</v>
      </c>
      <c r="C27">
        <v>0.18277499999999999</v>
      </c>
      <c r="D27" s="4">
        <v>0.18730000000000002</v>
      </c>
      <c r="E27" s="4">
        <v>0.11819999999999997</v>
      </c>
      <c r="F27" s="4">
        <v>0.23829999999999996</v>
      </c>
      <c r="G27" s="4">
        <v>0.12009999999999998</v>
      </c>
      <c r="H27" s="4">
        <v>0.14385000000000001</v>
      </c>
      <c r="I27" s="4">
        <v>0.22622500000000001</v>
      </c>
      <c r="J27" s="4">
        <v>8.2375000000000004E-2</v>
      </c>
      <c r="K27" s="4">
        <v>5.6950058530844914E-2</v>
      </c>
      <c r="L27" s="4">
        <v>9.2154748321410809E-2</v>
      </c>
      <c r="M27" s="4">
        <v>0.27339525167858919</v>
      </c>
      <c r="N27" s="4"/>
    </row>
    <row r="28" spans="1:14" x14ac:dyDescent="0.3">
      <c r="A28" t="s">
        <v>620</v>
      </c>
      <c r="B28">
        <v>8</v>
      </c>
      <c r="C28">
        <v>0.16312499999999999</v>
      </c>
      <c r="D28" s="4">
        <v>9.8216666666666633E-2</v>
      </c>
      <c r="E28" s="4">
        <v>4.8999999999999877E-3</v>
      </c>
      <c r="F28" s="4">
        <v>0.71179999999999999</v>
      </c>
      <c r="G28" s="4">
        <v>0.70689999999999997</v>
      </c>
      <c r="H28" s="4">
        <v>8.249999999999999E-2</v>
      </c>
      <c r="I28" s="4">
        <v>0.11149999999999996</v>
      </c>
      <c r="J28" s="4">
        <v>2.899999999999997E-2</v>
      </c>
      <c r="K28" s="4">
        <v>0.22439652456777318</v>
      </c>
      <c r="L28" s="4">
        <v>-2.4475189279653919E-2</v>
      </c>
      <c r="M28" s="4">
        <v>0.3507251892796539</v>
      </c>
      <c r="N28" s="4"/>
    </row>
    <row r="29" spans="1:14" x14ac:dyDescent="0.3">
      <c r="A29" t="s">
        <v>621</v>
      </c>
      <c r="B29">
        <v>8</v>
      </c>
      <c r="C29">
        <v>0.14504583333333335</v>
      </c>
      <c r="D29" s="4">
        <v>0.13724999999999998</v>
      </c>
      <c r="E29" s="4">
        <v>0.10650000000000004</v>
      </c>
      <c r="F29" s="4">
        <v>0.23829999999999996</v>
      </c>
      <c r="G29" s="4">
        <v>0.13179999999999992</v>
      </c>
      <c r="H29" s="4">
        <v>0.12410000000000003</v>
      </c>
      <c r="I29" s="4">
        <v>0.14860000000000001</v>
      </c>
      <c r="J29" s="4">
        <v>2.449999999999998E-2</v>
      </c>
      <c r="K29" s="4">
        <v>4.0477467521871001E-2</v>
      </c>
      <c r="L29" s="4">
        <v>0.11120582363046204</v>
      </c>
      <c r="M29" s="4">
        <v>0.17888584303620464</v>
      </c>
      <c r="N29" s="4"/>
    </row>
    <row r="30" spans="1:14" x14ac:dyDescent="0.3">
      <c r="A30" t="s">
        <v>622</v>
      </c>
      <c r="B30">
        <v>8</v>
      </c>
      <c r="C30">
        <v>0.27744999999999997</v>
      </c>
      <c r="D30" s="4">
        <v>0.14366666666666666</v>
      </c>
      <c r="E30" s="4">
        <v>9.726666666666664E-2</v>
      </c>
      <c r="F30" s="4">
        <v>1.2212000000000001</v>
      </c>
      <c r="G30" s="4">
        <v>1.1239333333333335</v>
      </c>
      <c r="H30" s="4">
        <v>0.12035000000000001</v>
      </c>
      <c r="I30" s="4">
        <v>0.17989999999999998</v>
      </c>
      <c r="J30" s="4">
        <v>5.9549999999999964E-2</v>
      </c>
      <c r="K30" s="4">
        <v>0.3827302834128361</v>
      </c>
      <c r="L30" s="4">
        <v>-4.2520524274399951E-2</v>
      </c>
      <c r="M30" s="4">
        <v>0.59742052427439996</v>
      </c>
      <c r="N30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7CEC2B-9D79-419C-8BBE-8D8A242063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GPS Locations</vt:lpstr>
      <vt:lpstr>Location_codes_characteristics</vt:lpstr>
      <vt:lpstr>Filter_paper_weights</vt:lpstr>
      <vt:lpstr>Weights_(depth_integrated)</vt:lpstr>
      <vt:lpstr>Stats_Depth_Integrated_Samples</vt:lpstr>
      <vt:lpstr>Further_Stats</vt:lpstr>
      <vt:lpstr>Weights_(rising_stage)</vt:lpstr>
      <vt:lpstr>Statistics_Output_Rising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PBDP</dc:creator>
  <cp:lastModifiedBy>PBDP</cp:lastModifiedBy>
  <cp:lastPrinted>2025-05-10T19:30:19Z</cp:lastPrinted>
  <dcterms:created xsi:type="dcterms:W3CDTF">2025-04-20T12:37:44Z</dcterms:created>
  <dcterms:modified xsi:type="dcterms:W3CDTF">2026-01-10T15:55:10Z</dcterms:modified>
</cp:coreProperties>
</file>